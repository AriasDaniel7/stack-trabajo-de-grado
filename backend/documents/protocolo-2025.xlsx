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C:\Users\arias\OneDrive\Desktop\stack\backend\documents\"/>
    </mc:Choice>
  </mc:AlternateContent>
  <xr:revisionPtr revIDLastSave="0" documentId="13_ncr:1_{0CB16EBB-E210-4188-81E8-0D79956630FE}" xr6:coauthVersionLast="47" xr6:coauthVersionMax="47" xr10:uidLastSave="{00000000-0000-0000-0000-000000000000}"/>
  <bookViews>
    <workbookView xWindow="-120" yWindow="-120" windowWidth="29040" windowHeight="15720" tabRatio="807" xr2:uid="{E92B247C-96EB-4511-B491-B0B454C203E4}"/>
  </bookViews>
  <sheets>
    <sheet name="PROTOCOLO" sheetId="1" r:id="rId1"/>
    <sheet name="VIABILIDAD" sheetId="2" r:id="rId2"/>
    <sheet name="LISTA DE ESTUDIANTES" sheetId="5" r:id="rId3"/>
  </sheets>
  <definedNames>
    <definedName name="_xlnm.Print_Area" localSheetId="0">PROTOCOLO!$A$1:$Y$29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I27" i="2"/>
  <c r="W9" i="1"/>
  <c r="I30" i="2"/>
  <c r="C14" i="2"/>
  <c r="C13" i="2"/>
  <c r="F9" i="1"/>
  <c r="C8" i="1" s="1"/>
  <c r="F8" i="1"/>
  <c r="F7" i="1"/>
  <c r="W10" i="1"/>
  <c r="W8" i="1"/>
  <c r="O9" i="1"/>
  <c r="R9" i="1" s="1"/>
  <c r="R10" i="1" s="1"/>
  <c r="I29" i="2"/>
  <c r="I31" i="2"/>
  <c r="J17" i="1"/>
  <c r="Q16" i="1" s="1"/>
  <c r="I22" i="2" s="1"/>
  <c r="C12" i="2"/>
  <c r="C11" i="2"/>
  <c r="G7" i="2"/>
  <c r="E7" i="2"/>
  <c r="F6" i="2"/>
  <c r="I18" i="2"/>
  <c r="M16" i="1"/>
  <c r="Q10" i="1"/>
  <c r="AA27" i="1"/>
  <c r="I28" i="2"/>
  <c r="P16" i="1"/>
  <c r="I21" i="2" s="1"/>
  <c r="I33" i="2" s="1"/>
  <c r="O16" i="1" l="1"/>
  <c r="I19" i="2"/>
  <c r="K9" i="1"/>
  <c r="K15" i="1"/>
  <c r="K11" i="1"/>
  <c r="K10" i="1"/>
  <c r="K12" i="1"/>
  <c r="K16" i="1"/>
  <c r="K13" i="1"/>
  <c r="K14" i="1"/>
  <c r="K17" i="1" l="1"/>
  <c r="I20" i="2" l="1"/>
  <c r="R16" i="1"/>
  <c r="I32" i="2"/>
  <c r="I35" i="2" s="1"/>
  <c r="I23" i="2" l="1"/>
  <c r="I24" i="2"/>
  <c r="I37" i="2" s="1"/>
  <c r="I3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A7" authorId="0" shapeId="0" xr:uid="{61FD7D41-7EA4-47E2-B07F-56ADFD5CF779}">
      <text>
        <r>
          <rPr>
            <b/>
            <sz val="9"/>
            <color indexed="81"/>
            <rFont val="Tahoma"/>
            <family val="2"/>
          </rPr>
          <t xml:space="preserve">De acuerdo al año de la vigencia se cambia el año del SMMLV
</t>
        </r>
      </text>
    </comment>
    <comment ref="C7" authorId="0" shapeId="0" xr:uid="{B7FA00A0-747C-41D2-8E48-8B1CE7139756}">
      <text>
        <r>
          <rPr>
            <b/>
            <sz val="9"/>
            <color indexed="81"/>
            <rFont val="Tahoma"/>
            <family val="2"/>
          </rPr>
          <t>El valor del salario minimo corresponde de acuerdo a la vigencia actual</t>
        </r>
      </text>
    </comment>
    <comment ref="C8" authorId="0" shapeId="0" xr:uid="{CF6A6A80-059B-4318-AC42-F42C7164C178}">
      <text>
        <r>
          <rPr>
            <b/>
            <sz val="9"/>
            <color indexed="81"/>
            <rFont val="Tahoma"/>
            <family val="2"/>
          </rPr>
          <t>El valor de la matricula corresponde de acuerdo a la vigencia actual</t>
        </r>
      </text>
    </comment>
    <comment ref="C13" authorId="0" shapeId="0" xr:uid="{C5EC0309-0A7B-4E67-9EED-49234C18880C}">
      <text>
        <r>
          <rPr>
            <b/>
            <sz val="9"/>
            <color indexed="81"/>
            <rFont val="Tahoma"/>
            <family val="2"/>
          </rPr>
          <t xml:space="preserve">describir la facultad a la que pertenece
</t>
        </r>
      </text>
    </comment>
    <comment ref="C14" authorId="0" shapeId="0" xr:uid="{93533E82-4403-4B1E-A4F5-BADA0DADAD5E}">
      <text>
        <r>
          <rPr>
            <b/>
            <sz val="9"/>
            <color indexed="81"/>
            <rFont val="Tahoma"/>
            <family val="2"/>
          </rPr>
          <t xml:space="preserve">Describir el programa academico 
</t>
        </r>
      </text>
    </comment>
    <comment ref="F15" authorId="0" shapeId="0" xr:uid="{20C6573D-9F08-4C86-8F43-70780E0AD390}">
      <text>
        <r>
          <rPr>
            <b/>
            <sz val="9"/>
            <color indexed="81"/>
            <rFont val="Tahoma"/>
            <family val="2"/>
          </rPr>
          <t>Numero de CDP</t>
        </r>
        <r>
          <rPr>
            <sz val="9"/>
            <color indexed="81"/>
            <rFont val="Tahoma"/>
            <family val="2"/>
          </rPr>
          <t xml:space="preserve">
</t>
        </r>
      </text>
    </comment>
    <comment ref="C16" authorId="0" shapeId="0" xr:uid="{C6300984-6742-47D8-8660-BFA89552405F}">
      <text>
        <r>
          <rPr>
            <b/>
            <sz val="9"/>
            <color indexed="81"/>
            <rFont val="Tahoma"/>
            <family val="2"/>
          </rPr>
          <t xml:space="preserve">Ciudad donde se va ejecutar el seminario
</t>
        </r>
        <r>
          <rPr>
            <sz val="9"/>
            <color indexed="81"/>
            <rFont val="Tahoma"/>
            <family val="2"/>
          </rPr>
          <t xml:space="preserve">
</t>
        </r>
      </text>
    </comment>
    <comment ref="C17" authorId="0" shapeId="0" xr:uid="{6D7B565E-6348-4331-B615-B73AD8421919}">
      <text>
        <r>
          <rPr>
            <b/>
            <sz val="9"/>
            <color indexed="81"/>
            <rFont val="Tahoma"/>
            <family val="2"/>
          </rPr>
          <t xml:space="preserve">Nombre completo del director del programa
</t>
        </r>
      </text>
    </comment>
  </commentList>
</comments>
</file>

<file path=xl/sharedStrings.xml><?xml version="1.0" encoding="utf-8"?>
<sst xmlns="http://schemas.openxmlformats.org/spreadsheetml/2006/main" count="129" uniqueCount="120">
  <si>
    <t>Código</t>
  </si>
  <si>
    <t>FPI.DP-01  v.02</t>
  </si>
  <si>
    <t>Página</t>
  </si>
  <si>
    <t xml:space="preserve">Valor de la Matrícula </t>
  </si>
  <si>
    <t>Aspirantes con Descuentos Institucionales</t>
  </si>
  <si>
    <t xml:space="preserve">  (Egresado, Certificado Electoral, Convención Colectiva)</t>
  </si>
  <si>
    <t>Porcentaje del Descuento</t>
  </si>
  <si>
    <t>TOTAL</t>
  </si>
  <si>
    <t>CONSOLIDADO DE INGRESOS</t>
  </si>
  <si>
    <t>Derechos de grado aplica solo para Últimos Semestres</t>
  </si>
  <si>
    <t>$ Valor Inscripción</t>
  </si>
  <si>
    <t>$ Ingresos por Inscripción</t>
  </si>
  <si>
    <t>$ Ingresos Total por Inscripciones</t>
  </si>
  <si>
    <t>$ Ingresos Total por Matricula</t>
  </si>
  <si>
    <t>$ Total Ingresos</t>
  </si>
  <si>
    <t>DATOS BASICOS</t>
  </si>
  <si>
    <t xml:space="preserve">NOMBRE DEL PROGRAMA: </t>
  </si>
  <si>
    <t>COHORTE  - SEMESTRE</t>
  </si>
  <si>
    <t xml:space="preserve">CIUDAD A REALIZAR LA ACTIVIDAD: </t>
  </si>
  <si>
    <t>DIRECTOR DEL PROGRAMA:</t>
  </si>
  <si>
    <t>N°</t>
  </si>
  <si>
    <t>Nombre del Seminario, Curso o Conferencia</t>
  </si>
  <si>
    <t>Fecha del seminario (Colocar la fecha en letras)</t>
  </si>
  <si>
    <t>Tipo de Identificación ( C.C o C.E.)</t>
  </si>
  <si>
    <t>Número de Documento de Identificación</t>
  </si>
  <si>
    <t>Dirección</t>
  </si>
  <si>
    <t>Teléfono</t>
  </si>
  <si>
    <t>Valor de los Honorarios</t>
  </si>
  <si>
    <t>Destino Ida y Vuelta del Transporte Aereo (Indicar Ruta)</t>
  </si>
  <si>
    <t>$ Transporte Terrestre</t>
  </si>
  <si>
    <t>Destino ida y vuelta del transporte terrestre  (Indicar Ruta)</t>
  </si>
  <si>
    <t>$ Auxilio de Alimento y Hospedaje</t>
  </si>
  <si>
    <t xml:space="preserve">Días de estadía en la ciudad del evento                       </t>
  </si>
  <si>
    <t>HOTEL                                                (Ciudad donde se prestará el servicio de hospedaje)</t>
  </si>
  <si>
    <t>BONIFICACIONES ( PLANTA  Y ADMINISTRATIVOS)</t>
  </si>
  <si>
    <t>DOCENTE EXTERNO(OPS)</t>
  </si>
  <si>
    <t>NOTA:  Los datos suministrados en el protocolo son responsabilidad de los Directores de los programas de Postgrados. La División Administrativa de Postgrados no sea hace responsable si estos datos no son reales.</t>
  </si>
  <si>
    <t>2 de 2</t>
  </si>
  <si>
    <t>Efectuados los trámites pertinentes por parte del director(a) del programa:</t>
  </si>
  <si>
    <t>COHORTE:</t>
  </si>
  <si>
    <t>SEMESTRE:</t>
  </si>
  <si>
    <t xml:space="preserve">a dictarse en la ciudad de </t>
  </si>
  <si>
    <t>ha cumplido con los requisitos minimos establecios en el protocolo de viabilidad económica, conforme a los siguientes aspectos:</t>
  </si>
  <si>
    <t>INGRESOS</t>
  </si>
  <si>
    <t>Valor del SMMLV</t>
  </si>
  <si>
    <t xml:space="preserve">Inscripciones </t>
  </si>
  <si>
    <t>Ingreso Matrículas</t>
  </si>
  <si>
    <t>Estampilla Procultura</t>
  </si>
  <si>
    <t>EGRESOS</t>
  </si>
  <si>
    <t>Honorarios Docentes</t>
  </si>
  <si>
    <t>BONIFICACIONES</t>
  </si>
  <si>
    <t>Alojamiento</t>
  </si>
  <si>
    <t>Transporte Aéreo</t>
  </si>
  <si>
    <t>Transporte Terrestre</t>
  </si>
  <si>
    <t>Total Egresos Para CDP</t>
  </si>
  <si>
    <t>Utilidad</t>
  </si>
  <si>
    <t>% Utilidad</t>
  </si>
  <si>
    <t>Se expide la presente a los</t>
  </si>
  <si>
    <t>días del mes de</t>
  </si>
  <si>
    <t>del</t>
  </si>
  <si>
    <t>Nota: Este documento es requisito indispensable para:</t>
  </si>
  <si>
    <t>*Solicitud y Expedición del Certificado de Disponibilidad Presupuestal</t>
  </si>
  <si>
    <t>*Efectuar Pago de docentes</t>
  </si>
  <si>
    <t>*Dar inicio al programa en mención</t>
  </si>
  <si>
    <t>CDP</t>
  </si>
  <si>
    <t xml:space="preserve">DOCTORADO </t>
  </si>
  <si>
    <t xml:space="preserve">Protocolo de Viabilidad Económica de Educacion Posgraduada </t>
  </si>
  <si>
    <t xml:space="preserve">Numero de Aspirantes </t>
  </si>
  <si>
    <t xml:space="preserve">$ Ingresos con Descuento </t>
  </si>
  <si>
    <t>1 de 1</t>
  </si>
  <si>
    <t xml:space="preserve">Protocolo de Viabilidad Económica de Educación Posgraduada </t>
  </si>
  <si>
    <t>No.</t>
  </si>
  <si>
    <t>NOMBRE COMPLETO</t>
  </si>
  <si>
    <t>CEDULA</t>
  </si>
  <si>
    <t>$ Ingresos Total por Timbre Procultura</t>
  </si>
  <si>
    <t>$ Ingresos Total por Seguro Estudiantil</t>
  </si>
  <si>
    <t>Seguro estudiantil</t>
  </si>
  <si>
    <t>PROGRAMA</t>
  </si>
  <si>
    <t>Número de créditos por semestre</t>
  </si>
  <si>
    <r>
      <t xml:space="preserve">Total Recaudado a la Fecha por Matriculas </t>
    </r>
    <r>
      <rPr>
        <sz val="11"/>
        <color indexed="18"/>
        <rFont val="Arial"/>
        <family val="2"/>
      </rPr>
      <t>(Según Factibilidad del Sistema)</t>
    </r>
  </si>
  <si>
    <t>DATOS DE MATRÍCULA</t>
  </si>
  <si>
    <t>S.M.M.L.V</t>
  </si>
  <si>
    <t>CRÉDITO smlv</t>
  </si>
  <si>
    <t>Otros</t>
  </si>
  <si>
    <t>Nacionalidad Colombiano o extranjero</t>
  </si>
  <si>
    <t>Nivel del programa de Posgrado</t>
  </si>
  <si>
    <t xml:space="preserve">ESPECIALIZACION </t>
  </si>
  <si>
    <t>MAESTRIA</t>
  </si>
  <si>
    <t>Valor del credito</t>
  </si>
  <si>
    <t>Especializaciones,Maestrias y Doctorados 0,16% SMMLV</t>
  </si>
  <si>
    <t>1.87 smmlv</t>
  </si>
  <si>
    <t>1.51 smmlv</t>
  </si>
  <si>
    <t>1.37 smmlv</t>
  </si>
  <si>
    <t>FACULTAD</t>
  </si>
  <si>
    <t>Docentes Nombres y Apellidos Completos</t>
  </si>
  <si>
    <t>Tipo de Vinculacion (docente o administrativo)</t>
  </si>
  <si>
    <t xml:space="preserve">Grado de escolaridad </t>
  </si>
  <si>
    <t>Incripciones (solo primer semestre)</t>
  </si>
  <si>
    <t>Director(a) Oficina de Planeación</t>
  </si>
  <si>
    <t>EGRESADO</t>
  </si>
  <si>
    <t>ELECTORAL</t>
  </si>
  <si>
    <t>DOCENTE</t>
  </si>
  <si>
    <t>CAJA DE COMPESACIÓN</t>
  </si>
  <si>
    <t>OPS</t>
  </si>
  <si>
    <t>BECA</t>
  </si>
  <si>
    <t>DESCUENTOS 
Marcar con una X la casilla correspondiente - Sólo se puede aplicar a 2 descuentos</t>
  </si>
  <si>
    <t>TOTAL % DESCUENTOS</t>
  </si>
  <si>
    <t>ADMINISTRATIVOS</t>
  </si>
  <si>
    <t xml:space="preserve">PREPOSGRADO </t>
  </si>
  <si>
    <t>TCO/HC 30%</t>
  </si>
  <si>
    <t>PLANTA 95%</t>
  </si>
  <si>
    <t>COMFA  NORTE 15%</t>
  </si>
  <si>
    <t>COMFA ORIENTE 15%</t>
  </si>
  <si>
    <t>Valor Crédito</t>
  </si>
  <si>
    <t>#Créditos</t>
  </si>
  <si>
    <r>
      <t xml:space="preserve">Total a Recaudar por semestre </t>
    </r>
    <r>
      <rPr>
        <sz val="11"/>
        <rFont val="Arial"/>
        <family val="2"/>
      </rPr>
      <t>(Ingreso Matriculas + Inscripciones (Si hay))</t>
    </r>
  </si>
  <si>
    <t>Valor a pagar por crédito</t>
  </si>
  <si>
    <t xml:space="preserve"> Doctorado - 0,88 SMMLV</t>
  </si>
  <si>
    <t>Maestría - 0,54 SMMLV</t>
  </si>
  <si>
    <t>Especialización - 0,34 SMMLV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</si>
</sst>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 #,##0.00_);_(&quot;$&quot;\ * \(#,##0.00\);_(&quot;$&quot;\ * &quot;-&quot;??_);_(@_)"/>
    <numFmt numFmtId="165" formatCode="&quot;$&quot;\ #,##0"/>
    <numFmt numFmtId="166" formatCode="0.0"/>
    <numFmt numFmtId="167" formatCode="&quot;$&quot;\ #,##0.00"/>
    <numFmt numFmtId="168" formatCode="#,##0.0"/>
    <numFmt numFmtId="169" formatCode="&quot;$&quot;#,##0.0"/>
    <numFmt numFmtId="170" formatCode="[$$-240A]\ #,##0.00"/>
    <numFmt numFmtId="171" formatCode="&quot;$&quot;#,##0"/>
    <numFmt numFmtId="172" formatCode="_(&quot;$&quot;\ * #,##0_);_(&quot;$&quot;\ * \(#,##0\);_(&quot;$&quot;\ * &quot;-&quot;??_);_(@_)"/>
  </numFmts>
  <fonts count="60">
    <font>
      <sz val="10"/>
      <name val="Arial"/>
      <charset val="134"/>
    </font>
    <font>
      <sz val="10"/>
      <name val="Arial"/>
      <family val="2"/>
    </font>
    <font>
      <b/>
      <sz val="10"/>
      <name val="Arial"/>
      <family val="2"/>
    </font>
    <font>
      <b/>
      <sz val="14"/>
      <name val="Arial"/>
      <family val="2"/>
    </font>
    <font>
      <b/>
      <sz val="12"/>
      <color indexed="9"/>
      <name val="Arial"/>
      <family val="2"/>
    </font>
    <font>
      <sz val="12"/>
      <name val="Arial"/>
      <family val="2"/>
    </font>
    <font>
      <sz val="11"/>
      <name val="Arial"/>
      <family val="2"/>
    </font>
    <font>
      <b/>
      <sz val="12"/>
      <name val="Arial"/>
      <family val="2"/>
    </font>
    <font>
      <b/>
      <sz val="11"/>
      <name val="Arial"/>
      <family val="2"/>
    </font>
    <font>
      <sz val="12"/>
      <name val="Times New Roman"/>
      <family val="1"/>
    </font>
    <font>
      <b/>
      <sz val="9"/>
      <name val="Arial"/>
      <family val="2"/>
    </font>
    <font>
      <sz val="16"/>
      <color indexed="18"/>
      <name val="Arial"/>
      <family val="2"/>
    </font>
    <font>
      <b/>
      <sz val="16"/>
      <color indexed="18"/>
      <name val="Arial"/>
      <family val="2"/>
    </font>
    <font>
      <b/>
      <sz val="9"/>
      <color indexed="9"/>
      <name val="Arial"/>
      <family val="2"/>
    </font>
    <font>
      <sz val="14"/>
      <name val="Arial"/>
      <family val="2"/>
    </font>
    <font>
      <b/>
      <sz val="14"/>
      <color indexed="62"/>
      <name val="Arial"/>
      <family val="2"/>
    </font>
    <font>
      <sz val="9"/>
      <name val="Arial"/>
      <family val="2"/>
    </font>
    <font>
      <sz val="16"/>
      <name val="Arial"/>
      <family val="2"/>
    </font>
    <font>
      <b/>
      <sz val="14"/>
      <color indexed="10"/>
      <name val="Arial"/>
      <family val="2"/>
    </font>
    <font>
      <b/>
      <sz val="14"/>
      <color indexed="9"/>
      <name val="Arial"/>
      <family val="2"/>
    </font>
    <font>
      <b/>
      <sz val="16"/>
      <name val="Arial"/>
      <family val="2"/>
    </font>
    <font>
      <b/>
      <sz val="16"/>
      <color indexed="10"/>
      <name val="Arial"/>
      <family val="2"/>
    </font>
    <font>
      <sz val="11"/>
      <color indexed="18"/>
      <name val="Arial"/>
      <family val="2"/>
    </font>
    <font>
      <b/>
      <sz val="22"/>
      <name val="Arial"/>
      <family val="2"/>
    </font>
    <font>
      <b/>
      <sz val="20"/>
      <name val="Arial"/>
      <family val="2"/>
    </font>
    <font>
      <sz val="10"/>
      <name val="Arial"/>
      <family val="2"/>
    </font>
    <font>
      <sz val="10"/>
      <name val="Arial"/>
      <family val="2"/>
    </font>
    <font>
      <b/>
      <sz val="28"/>
      <name val="Arial"/>
      <family val="2"/>
    </font>
    <font>
      <sz val="20"/>
      <name val="Arial"/>
      <family val="2"/>
    </font>
    <font>
      <sz val="20"/>
      <color indexed="62"/>
      <name val="Arial"/>
      <family val="2"/>
    </font>
    <font>
      <b/>
      <sz val="20"/>
      <color indexed="62"/>
      <name val="Arial"/>
      <family val="2"/>
    </font>
    <font>
      <b/>
      <sz val="20"/>
      <color indexed="9"/>
      <name val="Arial"/>
      <family val="2"/>
    </font>
    <font>
      <b/>
      <sz val="20"/>
      <color indexed="10"/>
      <name val="Arial"/>
      <family val="2"/>
    </font>
    <font>
      <b/>
      <sz val="24"/>
      <name val="Arial"/>
      <family val="2"/>
    </font>
    <font>
      <b/>
      <sz val="36"/>
      <name val="Arial"/>
      <family val="2"/>
    </font>
    <font>
      <b/>
      <sz val="22"/>
      <color indexed="9"/>
      <name val="Arial"/>
      <family val="2"/>
    </font>
    <font>
      <sz val="22"/>
      <name val="Arial"/>
      <family val="2"/>
    </font>
    <font>
      <b/>
      <sz val="22"/>
      <color indexed="62"/>
      <name val="Arial"/>
      <family val="2"/>
    </font>
    <font>
      <sz val="9"/>
      <color indexed="81"/>
      <name val="Tahoma"/>
      <family val="2"/>
    </font>
    <font>
      <b/>
      <sz val="9"/>
      <color indexed="81"/>
      <name val="Tahoma"/>
      <family val="2"/>
    </font>
    <font>
      <sz val="24"/>
      <name val="Calibri"/>
      <family val="2"/>
    </font>
    <font>
      <b/>
      <sz val="24"/>
      <name val="Calibri"/>
      <family val="2"/>
    </font>
    <font>
      <sz val="15"/>
      <name val="Arial"/>
      <family val="2"/>
    </font>
    <font>
      <sz val="10"/>
      <name val="Aptos"/>
      <family val="2"/>
    </font>
    <font>
      <sz val="16"/>
      <color theme="0"/>
      <name val="Arial"/>
      <family val="2"/>
    </font>
    <font>
      <b/>
      <sz val="20"/>
      <color theme="0"/>
      <name val="Arial"/>
      <family val="2"/>
    </font>
    <font>
      <b/>
      <sz val="24"/>
      <color theme="0"/>
      <name val="Arial"/>
      <family val="2"/>
    </font>
    <font>
      <sz val="20"/>
      <color theme="0"/>
      <name val="Arial"/>
      <family val="2"/>
    </font>
    <font>
      <sz val="16"/>
      <color theme="0" tint="-0.34998626667073579"/>
      <name val="Arial"/>
      <family val="2"/>
    </font>
    <font>
      <b/>
      <sz val="36"/>
      <color theme="1"/>
      <name val="Arial"/>
      <family val="2"/>
    </font>
    <font>
      <b/>
      <sz val="20"/>
      <color theme="1"/>
      <name val="Arial"/>
      <family val="2"/>
    </font>
    <font>
      <b/>
      <sz val="22"/>
      <color rgb="FFFF0000"/>
      <name val="Arial"/>
      <family val="2"/>
    </font>
    <font>
      <b/>
      <sz val="7"/>
      <color theme="0"/>
      <name val="Calibri"/>
      <family val="2"/>
    </font>
    <font>
      <sz val="24"/>
      <color theme="1"/>
      <name val="Calibri"/>
      <family val="2"/>
    </font>
    <font>
      <sz val="24"/>
      <color theme="1"/>
      <name val="Calibri"/>
      <family val="2"/>
      <scheme val="minor"/>
    </font>
    <font>
      <sz val="24"/>
      <name val="Calibri"/>
      <family val="2"/>
      <scheme val="minor"/>
    </font>
    <font>
      <sz val="10"/>
      <color rgb="FF000000"/>
      <name val="Aptos"/>
      <family val="2"/>
    </font>
    <font>
      <b/>
      <sz val="20"/>
      <color rgb="FFFF0000"/>
      <name val="Arial"/>
      <family val="2"/>
    </font>
    <font>
      <b/>
      <sz val="10"/>
      <color theme="0"/>
      <name val="Arial"/>
      <family val="2"/>
    </font>
    <font>
      <b/>
      <sz val="8"/>
      <color theme="0"/>
      <name val="Calibri"/>
      <family val="2"/>
    </font>
  </fonts>
  <fills count="11">
    <fill>
      <patternFill patternType="none"/>
    </fill>
    <fill>
      <patternFill patternType="gray125"/>
    </fill>
    <fill>
      <patternFill patternType="solid">
        <fgColor indexed="9"/>
        <bgColor indexed="64"/>
      </patternFill>
    </fill>
    <fill>
      <patternFill patternType="solid">
        <fgColor theme="0" tint="-0.14996795556505021"/>
        <bgColor indexed="64"/>
      </patternFill>
    </fill>
    <fill>
      <patternFill patternType="solid">
        <fgColor theme="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rgb="FF00B0F0"/>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0" tint="-4.9989318521683403E-2"/>
        <bgColor indexed="64"/>
      </patternFill>
    </fill>
  </fills>
  <borders count="53">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s>
  <cellStyleXfs count="4">
    <xf numFmtId="0" fontId="0" fillId="0" borderId="0"/>
    <xf numFmtId="164" fontId="26" fillId="0" borderId="0" applyFont="0" applyFill="0" applyBorder="0" applyAlignment="0" applyProtection="0"/>
    <xf numFmtId="0" fontId="1" fillId="0" borderId="0"/>
    <xf numFmtId="0" fontId="25" fillId="0" borderId="0"/>
  </cellStyleXfs>
  <cellXfs count="349">
    <xf numFmtId="0" fontId="0" fillId="0" borderId="0" xfId="0"/>
    <xf numFmtId="0" fontId="1" fillId="0" borderId="0" xfId="0" applyFont="1"/>
    <xf numFmtId="0" fontId="6" fillId="0" borderId="0" xfId="0" applyFont="1" applyAlignment="1">
      <alignment horizontal="justify"/>
    </xf>
    <xf numFmtId="0" fontId="7" fillId="0" borderId="1" xfId="0" applyFont="1" applyBorder="1" applyAlignment="1">
      <alignment horizontal="center"/>
    </xf>
    <xf numFmtId="0" fontId="6" fillId="0" borderId="0" xfId="0" applyFont="1" applyAlignment="1">
      <alignment horizontal="center"/>
    </xf>
    <xf numFmtId="0" fontId="6" fillId="0" borderId="0" xfId="0" applyFont="1" applyAlignment="1">
      <alignment vertical="justify" wrapText="1"/>
    </xf>
    <xf numFmtId="167" fontId="10" fillId="0" borderId="0" xfId="0" applyNumberFormat="1" applyFont="1"/>
    <xf numFmtId="167" fontId="11" fillId="0" borderId="0" xfId="0" applyNumberFormat="1" applyFont="1" applyAlignment="1">
      <alignment horizontal="justify" vertical="center" wrapText="1"/>
    </xf>
    <xf numFmtId="0" fontId="13" fillId="0" borderId="0" xfId="0" applyFont="1"/>
    <xf numFmtId="0" fontId="1" fillId="2" borderId="2" xfId="0" applyFont="1" applyFill="1" applyBorder="1"/>
    <xf numFmtId="0" fontId="1" fillId="2" borderId="3" xfId="0" applyFont="1" applyFill="1" applyBorder="1"/>
    <xf numFmtId="0" fontId="14" fillId="2" borderId="4" xfId="0" applyFont="1" applyFill="1" applyBorder="1"/>
    <xf numFmtId="0" fontId="1" fillId="2" borderId="0" xfId="0" applyFont="1" applyFill="1"/>
    <xf numFmtId="0" fontId="1" fillId="2" borderId="5" xfId="0" applyFont="1" applyFill="1" applyBorder="1"/>
    <xf numFmtId="0" fontId="14" fillId="2" borderId="0" xfId="0" applyFont="1" applyFill="1"/>
    <xf numFmtId="0" fontId="14" fillId="2" borderId="5" xfId="0" applyFont="1" applyFill="1" applyBorder="1"/>
    <xf numFmtId="0" fontId="1" fillId="0" borderId="0" xfId="0" applyFont="1" applyAlignment="1">
      <alignment horizontal="justify"/>
    </xf>
    <xf numFmtId="0" fontId="1" fillId="2" borderId="6" xfId="0" applyFont="1" applyFill="1" applyBorder="1"/>
    <xf numFmtId="0" fontId="2" fillId="0" borderId="0" xfId="0" applyFont="1"/>
    <xf numFmtId="0" fontId="8" fillId="2" borderId="7" xfId="0" applyFont="1" applyFill="1" applyBorder="1" applyAlignment="1">
      <alignment horizontal="center" vertical="center" wrapText="1"/>
    </xf>
    <xf numFmtId="0" fontId="6" fillId="0" borderId="7" xfId="0" applyFont="1" applyBorder="1" applyAlignment="1">
      <alignment horizontal="center" vertical="center" wrapText="1"/>
    </xf>
    <xf numFmtId="171" fontId="15" fillId="3" borderId="8" xfId="0" applyNumberFormat="1" applyFont="1" applyFill="1" applyBorder="1" applyAlignment="1">
      <alignment horizontal="right" vertical="center"/>
    </xf>
    <xf numFmtId="171" fontId="15" fillId="3" borderId="9" xfId="0" applyNumberFormat="1" applyFont="1" applyFill="1" applyBorder="1" applyAlignment="1">
      <alignment horizontal="right" vertical="center"/>
    </xf>
    <xf numFmtId="170" fontId="16" fillId="0" borderId="0" xfId="0" applyNumberFormat="1" applyFont="1" applyAlignment="1">
      <alignment horizontal="center"/>
    </xf>
    <xf numFmtId="165" fontId="15" fillId="3" borderId="10" xfId="0" applyNumberFormat="1" applyFont="1" applyFill="1" applyBorder="1" applyAlignment="1">
      <alignment horizontal="right" vertical="center"/>
    </xf>
    <xf numFmtId="171" fontId="15" fillId="3" borderId="11" xfId="0" applyNumberFormat="1" applyFont="1" applyFill="1" applyBorder="1" applyAlignment="1">
      <alignment horizontal="right" vertical="center"/>
    </xf>
    <xf numFmtId="165" fontId="0" fillId="0" borderId="0" xfId="0" applyNumberFormat="1"/>
    <xf numFmtId="171" fontId="15" fillId="0" borderId="0" xfId="0" applyNumberFormat="1" applyFont="1" applyAlignment="1">
      <alignment horizontal="right" vertical="center"/>
    </xf>
    <xf numFmtId="171" fontId="15" fillId="3" borderId="7" xfId="0" applyNumberFormat="1" applyFont="1" applyFill="1" applyBorder="1" applyAlignment="1">
      <alignment horizontal="right" vertical="center"/>
    </xf>
    <xf numFmtId="10" fontId="15" fillId="3" borderId="7" xfId="0" applyNumberFormat="1" applyFont="1" applyFill="1" applyBorder="1" applyAlignment="1">
      <alignment horizontal="right" vertical="center"/>
    </xf>
    <xf numFmtId="170" fontId="13" fillId="0" borderId="0" xfId="0" applyNumberFormat="1" applyFont="1" applyAlignment="1">
      <alignment horizontal="right"/>
    </xf>
    <xf numFmtId="0" fontId="1" fillId="2" borderId="12" xfId="0" applyFont="1" applyFill="1" applyBorder="1"/>
    <xf numFmtId="0" fontId="14" fillId="2" borderId="13" xfId="0" applyFont="1" applyFill="1" applyBorder="1" applyAlignment="1">
      <alignment horizontal="center"/>
    </xf>
    <xf numFmtId="0" fontId="1" fillId="2" borderId="13" xfId="0" applyFont="1" applyFill="1" applyBorder="1"/>
    <xf numFmtId="0" fontId="7" fillId="0" borderId="0" xfId="0" applyFont="1"/>
    <xf numFmtId="0" fontId="5" fillId="2" borderId="0" xfId="0" applyFont="1" applyFill="1"/>
    <xf numFmtId="0" fontId="17" fillId="0" borderId="0" xfId="0" applyFont="1"/>
    <xf numFmtId="0" fontId="5" fillId="4" borderId="0" xfId="0" applyFont="1" applyFill="1" applyAlignment="1">
      <alignment wrapText="1"/>
    </xf>
    <xf numFmtId="4" fontId="5" fillId="4" borderId="0" xfId="0" applyNumberFormat="1" applyFont="1" applyFill="1" applyAlignment="1">
      <alignment wrapText="1"/>
    </xf>
    <xf numFmtId="0" fontId="18" fillId="2" borderId="0" xfId="0" applyFont="1" applyFill="1" applyAlignment="1">
      <alignment horizontal="left" wrapText="1"/>
    </xf>
    <xf numFmtId="0" fontId="18" fillId="4" borderId="0" xfId="0" applyFont="1" applyFill="1" applyAlignment="1">
      <alignment horizontal="left" wrapText="1"/>
    </xf>
    <xf numFmtId="3" fontId="17" fillId="2" borderId="0" xfId="0" applyNumberFormat="1" applyFont="1" applyFill="1" applyAlignment="1">
      <alignment horizontal="center" vertical="center" wrapText="1"/>
    </xf>
    <xf numFmtId="1" fontId="18" fillId="2" borderId="0" xfId="0" applyNumberFormat="1" applyFont="1" applyFill="1" applyAlignment="1">
      <alignment horizontal="left" wrapText="1"/>
    </xf>
    <xf numFmtId="0" fontId="17" fillId="2" borderId="0" xfId="0" applyFont="1" applyFill="1"/>
    <xf numFmtId="0" fontId="21" fillId="2" borderId="0" xfId="0" applyFont="1" applyFill="1" applyAlignment="1">
      <alignment horizontal="left" wrapText="1"/>
    </xf>
    <xf numFmtId="0" fontId="21" fillId="4" borderId="0" xfId="0" applyFont="1" applyFill="1" applyAlignment="1">
      <alignment horizontal="left" wrapText="1"/>
    </xf>
    <xf numFmtId="0" fontId="17" fillId="2" borderId="0" xfId="0" applyFont="1" applyFill="1" applyAlignment="1">
      <alignment wrapText="1"/>
    </xf>
    <xf numFmtId="4" fontId="17" fillId="2" borderId="0" xfId="0" applyNumberFormat="1" applyFont="1" applyFill="1" applyAlignment="1">
      <alignment wrapText="1"/>
    </xf>
    <xf numFmtId="3" fontId="17" fillId="4" borderId="0" xfId="0" applyNumberFormat="1" applyFont="1" applyFill="1" applyAlignment="1">
      <alignment horizontal="center" vertical="center" wrapText="1"/>
    </xf>
    <xf numFmtId="1" fontId="17" fillId="2" borderId="0" xfId="0" applyNumberFormat="1" applyFont="1" applyFill="1" applyAlignment="1">
      <alignment horizontal="center" vertical="center" wrapText="1"/>
    </xf>
    <xf numFmtId="0" fontId="17" fillId="4" borderId="0" xfId="0" applyFont="1" applyFill="1" applyAlignment="1">
      <alignment wrapText="1"/>
    </xf>
    <xf numFmtId="4" fontId="17" fillId="4" borderId="0" xfId="0" applyNumberFormat="1" applyFont="1" applyFill="1" applyAlignment="1">
      <alignment wrapText="1"/>
    </xf>
    <xf numFmtId="0" fontId="44" fillId="4" borderId="14" xfId="0" applyFont="1" applyFill="1" applyBorder="1"/>
    <xf numFmtId="167" fontId="11" fillId="5" borderId="15" xfId="0" applyNumberFormat="1" applyFont="1" applyFill="1" applyBorder="1" applyAlignment="1">
      <alignment horizontal="justify" vertical="center" wrapText="1"/>
    </xf>
    <xf numFmtId="167" fontId="11" fillId="5" borderId="16" xfId="0" applyNumberFormat="1" applyFont="1" applyFill="1" applyBorder="1" applyAlignment="1">
      <alignment horizontal="justify" vertical="center" wrapText="1"/>
    </xf>
    <xf numFmtId="171" fontId="15" fillId="5" borderId="13" xfId="0" applyNumberFormat="1" applyFont="1" applyFill="1" applyBorder="1" applyAlignment="1">
      <alignment horizontal="right" vertical="center"/>
    </xf>
    <xf numFmtId="0" fontId="21" fillId="4" borderId="0" xfId="0" applyFont="1" applyFill="1" applyAlignment="1">
      <alignment horizontal="center" wrapText="1"/>
    </xf>
    <xf numFmtId="172" fontId="20" fillId="4" borderId="0" xfId="1" applyNumberFormat="1" applyFont="1" applyFill="1" applyBorder="1" applyAlignment="1">
      <alignment horizontal="center" wrapText="1"/>
    </xf>
    <xf numFmtId="0" fontId="20" fillId="4" borderId="0" xfId="0" applyFont="1" applyFill="1" applyAlignment="1">
      <alignment horizontal="center" vertical="center" wrapText="1"/>
    </xf>
    <xf numFmtId="0" fontId="28" fillId="0" borderId="17" xfId="0" applyFont="1" applyBorder="1" applyAlignment="1">
      <alignment horizontal="center" vertical="center" wrapText="1"/>
    </xf>
    <xf numFmtId="0" fontId="29" fillId="0" borderId="17" xfId="0" applyFont="1" applyBorder="1" applyAlignment="1">
      <alignment horizontal="center" vertical="center" wrapText="1"/>
    </xf>
    <xf numFmtId="1" fontId="28" fillId="0" borderId="17" xfId="0" applyNumberFormat="1" applyFont="1" applyBorder="1" applyAlignment="1">
      <alignment horizontal="center" vertical="center" wrapText="1"/>
    </xf>
    <xf numFmtId="3" fontId="28" fillId="4" borderId="17" xfId="0" applyNumberFormat="1" applyFont="1" applyFill="1" applyBorder="1" applyAlignment="1">
      <alignment horizontal="center" vertical="center" wrapText="1"/>
    </xf>
    <xf numFmtId="0" fontId="28" fillId="4" borderId="17" xfId="0" applyFont="1" applyFill="1" applyBorder="1" applyAlignment="1">
      <alignment horizontal="center" vertical="center" wrapText="1"/>
    </xf>
    <xf numFmtId="171" fontId="28" fillId="4" borderId="17" xfId="0" applyNumberFormat="1" applyFont="1" applyFill="1" applyBorder="1" applyAlignment="1">
      <alignment horizontal="center" vertical="center"/>
    </xf>
    <xf numFmtId="0" fontId="30" fillId="4" borderId="17" xfId="0" applyFont="1" applyFill="1" applyBorder="1" applyAlignment="1">
      <alignment horizontal="center" vertical="center" wrapText="1"/>
    </xf>
    <xf numFmtId="1" fontId="24" fillId="4" borderId="0" xfId="0" applyNumberFormat="1" applyFont="1" applyFill="1" applyAlignment="1">
      <alignment horizontal="center" vertical="center" wrapText="1"/>
    </xf>
    <xf numFmtId="171" fontId="24" fillId="4" borderId="0" xfId="0" applyNumberFormat="1" applyFont="1" applyFill="1" applyAlignment="1">
      <alignment horizontal="right" vertical="center"/>
    </xf>
    <xf numFmtId="0" fontId="45" fillId="4" borderId="18" xfId="0" applyFont="1" applyFill="1" applyBorder="1" applyAlignment="1">
      <alignment horizontal="center" vertical="top" wrapText="1"/>
    </xf>
    <xf numFmtId="0" fontId="45" fillId="4" borderId="0" xfId="0" applyFont="1" applyFill="1" applyAlignment="1">
      <alignment horizontal="center" vertical="top" wrapText="1"/>
    </xf>
    <xf numFmtId="3" fontId="45" fillId="4" borderId="0" xfId="0" applyNumberFormat="1" applyFont="1" applyFill="1" applyAlignment="1">
      <alignment horizontal="center" vertical="center" wrapText="1"/>
    </xf>
    <xf numFmtId="165" fontId="45" fillId="4" borderId="0" xfId="0" applyNumberFormat="1" applyFont="1" applyFill="1" applyAlignment="1">
      <alignment horizontal="right" vertical="center"/>
    </xf>
    <xf numFmtId="3" fontId="24" fillId="4" borderId="0" xfId="0" applyNumberFormat="1" applyFont="1" applyFill="1" applyAlignment="1">
      <alignment horizontal="right" vertical="center"/>
    </xf>
    <xf numFmtId="171" fontId="45" fillId="4" borderId="0" xfId="0" applyNumberFormat="1" applyFont="1" applyFill="1" applyAlignment="1">
      <alignment horizontal="right" vertical="center"/>
    </xf>
    <xf numFmtId="4" fontId="45" fillId="4" borderId="0" xfId="0" applyNumberFormat="1" applyFont="1" applyFill="1" applyAlignment="1">
      <alignment horizontal="right" vertical="center" wrapText="1"/>
    </xf>
    <xf numFmtId="4" fontId="45" fillId="4" borderId="0" xfId="0" applyNumberFormat="1" applyFont="1" applyFill="1" applyAlignment="1">
      <alignment horizontal="center" wrapText="1"/>
    </xf>
    <xf numFmtId="167" fontId="45" fillId="4" borderId="0" xfId="0" applyNumberFormat="1" applyFont="1" applyFill="1" applyAlignment="1">
      <alignment horizontal="center" wrapText="1"/>
    </xf>
    <xf numFmtId="0" fontId="28" fillId="0" borderId="0" xfId="0" applyFont="1"/>
    <xf numFmtId="0" fontId="28" fillId="4" borderId="19" xfId="0" applyFont="1" applyFill="1" applyBorder="1" applyAlignment="1">
      <alignment horizontal="center" vertical="center" wrapText="1"/>
    </xf>
    <xf numFmtId="0" fontId="28" fillId="0" borderId="3" xfId="0" applyFont="1" applyBorder="1"/>
    <xf numFmtId="0" fontId="31" fillId="5" borderId="20" xfId="0" applyFont="1" applyFill="1" applyBorder="1" applyAlignment="1">
      <alignment horizontal="center" vertical="center" wrapText="1"/>
    </xf>
    <xf numFmtId="0" fontId="5" fillId="4" borderId="3" xfId="0" applyFont="1" applyFill="1" applyBorder="1" applyAlignment="1">
      <alignment horizontal="center"/>
    </xf>
    <xf numFmtId="0" fontId="7" fillId="4" borderId="3" xfId="0" applyFont="1" applyFill="1" applyBorder="1" applyAlignment="1" applyProtection="1">
      <alignment horizontal="center" vertical="center" wrapText="1"/>
      <protection locked="0"/>
    </xf>
    <xf numFmtId="0" fontId="7" fillId="4" borderId="21" xfId="0" applyFont="1" applyFill="1" applyBorder="1" applyAlignment="1" applyProtection="1">
      <alignment horizontal="center" vertical="center" wrapText="1"/>
      <protection locked="0"/>
    </xf>
    <xf numFmtId="0" fontId="5" fillId="4" borderId="5" xfId="0" applyFont="1" applyFill="1" applyBorder="1" applyAlignment="1">
      <alignment horizontal="center"/>
    </xf>
    <xf numFmtId="0" fontId="7" fillId="4" borderId="5" xfId="0" applyFont="1" applyFill="1" applyBorder="1" applyAlignment="1" applyProtection="1">
      <alignment horizontal="center" vertical="center" wrapText="1"/>
      <protection locked="0"/>
    </xf>
    <xf numFmtId="0" fontId="7" fillId="4" borderId="22" xfId="0" applyFont="1" applyFill="1" applyBorder="1" applyAlignment="1" applyProtection="1">
      <alignment horizontal="center" vertical="center" wrapText="1"/>
      <protection locked="0"/>
    </xf>
    <xf numFmtId="0" fontId="24" fillId="4" borderId="11" xfId="0" applyFont="1" applyFill="1" applyBorder="1" applyAlignment="1">
      <alignment horizontal="center" vertical="center" wrapText="1"/>
    </xf>
    <xf numFmtId="0" fontId="23" fillId="6" borderId="23" xfId="0" applyFont="1" applyFill="1" applyBorder="1" applyAlignment="1">
      <alignment vertical="center" wrapText="1"/>
    </xf>
    <xf numFmtId="0" fontId="23" fillId="6" borderId="24" xfId="0" applyFont="1" applyFill="1" applyBorder="1" applyAlignment="1">
      <alignment horizontal="center" vertical="center" wrapText="1"/>
    </xf>
    <xf numFmtId="171" fontId="23" fillId="6" borderId="25" xfId="0" applyNumberFormat="1" applyFont="1" applyFill="1" applyBorder="1" applyAlignment="1">
      <alignment horizontal="right" vertical="center"/>
    </xf>
    <xf numFmtId="171" fontId="30" fillId="4" borderId="26" xfId="0" applyNumberFormat="1" applyFont="1" applyFill="1" applyBorder="1" applyAlignment="1">
      <alignment horizontal="center" vertical="center" wrapText="1"/>
    </xf>
    <xf numFmtId="0" fontId="28" fillId="4" borderId="8" xfId="0" applyFont="1" applyFill="1" applyBorder="1" applyAlignment="1">
      <alignment horizontal="center" vertical="center" wrapText="1"/>
    </xf>
    <xf numFmtId="0" fontId="24" fillId="4" borderId="8" xfId="0" applyFont="1" applyFill="1" applyBorder="1" applyAlignment="1">
      <alignment horizontal="center" vertical="center" wrapText="1"/>
    </xf>
    <xf numFmtId="171" fontId="23" fillId="6" borderId="24" xfId="0" applyNumberFormat="1" applyFont="1" applyFill="1" applyBorder="1" applyAlignment="1">
      <alignment horizontal="center" vertical="center"/>
    </xf>
    <xf numFmtId="165" fontId="23" fillId="6" borderId="25" xfId="0" applyNumberFormat="1" applyFont="1" applyFill="1" applyBorder="1" applyAlignment="1">
      <alignment horizontal="center" vertical="center"/>
    </xf>
    <xf numFmtId="9" fontId="37" fillId="4" borderId="19" xfId="0" applyNumberFormat="1" applyFont="1" applyFill="1" applyBorder="1" applyAlignment="1">
      <alignment horizontal="center" vertical="center" wrapText="1"/>
    </xf>
    <xf numFmtId="0" fontId="37" fillId="4" borderId="17" xfId="0" applyFont="1" applyFill="1" applyBorder="1" applyAlignment="1">
      <alignment horizontal="center" vertical="center" wrapText="1"/>
    </xf>
    <xf numFmtId="171" fontId="37" fillId="4" borderId="8" xfId="0" applyNumberFormat="1" applyFont="1" applyFill="1" applyBorder="1" applyAlignment="1">
      <alignment horizontal="right" vertical="center"/>
    </xf>
    <xf numFmtId="0" fontId="23" fillId="6" borderId="27" xfId="0" applyFont="1" applyFill="1" applyBorder="1" applyAlignment="1">
      <alignment horizontal="center" vertical="center" wrapText="1"/>
    </xf>
    <xf numFmtId="0" fontId="36" fillId="0" borderId="0" xfId="0" applyFont="1"/>
    <xf numFmtId="0" fontId="27" fillId="0" borderId="28" xfId="0" applyFont="1" applyBorder="1" applyAlignment="1">
      <alignment horizontal="center" vertical="center"/>
    </xf>
    <xf numFmtId="0" fontId="27" fillId="0" borderId="17" xfId="0" applyFont="1" applyBorder="1" applyAlignment="1">
      <alignment horizontal="center" vertical="center"/>
    </xf>
    <xf numFmtId="1" fontId="27" fillId="4" borderId="8" xfId="0" applyNumberFormat="1" applyFont="1" applyFill="1" applyBorder="1" applyAlignment="1">
      <alignment horizontal="center" vertical="center" wrapText="1"/>
    </xf>
    <xf numFmtId="0" fontId="17" fillId="6" borderId="0" xfId="0" applyFont="1" applyFill="1"/>
    <xf numFmtId="0" fontId="45" fillId="7" borderId="29" xfId="0" applyFont="1" applyFill="1" applyBorder="1" applyAlignment="1">
      <alignment horizontal="center" vertical="center" wrapText="1"/>
    </xf>
    <xf numFmtId="0" fontId="45" fillId="7" borderId="30" xfId="0" applyFont="1" applyFill="1" applyBorder="1" applyAlignment="1">
      <alignment horizontal="center" vertical="center" wrapText="1"/>
    </xf>
    <xf numFmtId="4" fontId="45" fillId="7" borderId="30" xfId="0" applyNumberFormat="1" applyFont="1" applyFill="1" applyBorder="1" applyAlignment="1">
      <alignment horizontal="center" vertical="center" wrapText="1"/>
    </xf>
    <xf numFmtId="3" fontId="45" fillId="7" borderId="30" xfId="0" applyNumberFormat="1" applyFont="1" applyFill="1" applyBorder="1" applyAlignment="1">
      <alignment horizontal="center" vertical="center" wrapText="1"/>
    </xf>
    <xf numFmtId="1" fontId="45" fillId="7" borderId="30" xfId="0" applyNumberFormat="1" applyFont="1" applyFill="1" applyBorder="1" applyAlignment="1">
      <alignment horizontal="center" vertical="center" wrapText="1"/>
    </xf>
    <xf numFmtId="0" fontId="45" fillId="7" borderId="9" xfId="0" applyFont="1" applyFill="1" applyBorder="1" applyAlignment="1">
      <alignment horizontal="center" vertical="center" wrapText="1"/>
    </xf>
    <xf numFmtId="0" fontId="44" fillId="7" borderId="0" xfId="0" applyFont="1" applyFill="1"/>
    <xf numFmtId="0" fontId="27" fillId="4" borderId="0" xfId="0" applyFont="1" applyFill="1" applyAlignment="1">
      <alignment vertical="center"/>
    </xf>
    <xf numFmtId="165" fontId="24" fillId="6" borderId="24" xfId="0" applyNumberFormat="1" applyFont="1" applyFill="1" applyBorder="1" applyAlignment="1">
      <alignment horizontal="right" vertical="center"/>
    </xf>
    <xf numFmtId="0" fontId="24" fillId="6" borderId="23" xfId="0" applyFont="1" applyFill="1" applyBorder="1" applyAlignment="1">
      <alignment horizontal="center" vertical="top" wrapText="1"/>
    </xf>
    <xf numFmtId="0" fontId="24" fillId="6" borderId="24" xfId="0" applyFont="1" applyFill="1" applyBorder="1" applyAlignment="1">
      <alignment horizontal="center" vertical="top" wrapText="1"/>
    </xf>
    <xf numFmtId="3" fontId="24" fillId="6" borderId="24" xfId="0" applyNumberFormat="1" applyFont="1" applyFill="1" applyBorder="1" applyAlignment="1">
      <alignment horizontal="center" vertical="center" wrapText="1"/>
    </xf>
    <xf numFmtId="167" fontId="24" fillId="6" borderId="25" xfId="0" applyNumberFormat="1" applyFont="1" applyFill="1" applyBorder="1" applyAlignment="1">
      <alignment horizontal="center" wrapText="1"/>
    </xf>
    <xf numFmtId="4" fontId="24" fillId="6" borderId="24" xfId="0" applyNumberFormat="1" applyFont="1" applyFill="1" applyBorder="1" applyAlignment="1">
      <alignment horizontal="right" vertical="center" wrapText="1"/>
    </xf>
    <xf numFmtId="1" fontId="46" fillId="7" borderId="8" xfId="0" applyNumberFormat="1" applyFont="1" applyFill="1" applyBorder="1" applyAlignment="1">
      <alignment horizontal="center" vertical="center" wrapText="1"/>
    </xf>
    <xf numFmtId="0" fontId="28" fillId="0" borderId="19" xfId="0" applyFont="1" applyBorder="1" applyAlignment="1">
      <alignment horizontal="center" vertical="center" wrapText="1"/>
    </xf>
    <xf numFmtId="0" fontId="24" fillId="6" borderId="31" xfId="0" applyFont="1" applyFill="1" applyBorder="1" applyAlignment="1">
      <alignment horizontal="center" vertical="center" wrapText="1"/>
    </xf>
    <xf numFmtId="0" fontId="5" fillId="4" borderId="32" xfId="0" applyFont="1" applyFill="1" applyBorder="1" applyAlignment="1">
      <alignment horizontal="center"/>
    </xf>
    <xf numFmtId="0" fontId="5" fillId="4" borderId="33" xfId="0" applyFont="1" applyFill="1" applyBorder="1" applyAlignment="1">
      <alignment horizontal="center"/>
    </xf>
    <xf numFmtId="0" fontId="23" fillId="4" borderId="20" xfId="0" applyFont="1" applyFill="1" applyBorder="1" applyAlignment="1" applyProtection="1">
      <alignment horizontal="center" vertical="center" wrapText="1"/>
      <protection locked="0"/>
    </xf>
    <xf numFmtId="0" fontId="23" fillId="4" borderId="24" xfId="0" applyFont="1" applyFill="1" applyBorder="1" applyAlignment="1" applyProtection="1">
      <alignment horizontal="center" vertical="center" wrapText="1"/>
      <protection locked="0"/>
    </xf>
    <xf numFmtId="0" fontId="0" fillId="0" borderId="17" xfId="0" applyBorder="1"/>
    <xf numFmtId="0" fontId="0" fillId="0" borderId="17" xfId="0" applyBorder="1" applyAlignment="1">
      <alignment horizontal="center"/>
    </xf>
    <xf numFmtId="171" fontId="23" fillId="6" borderId="23" xfId="0" applyNumberFormat="1" applyFont="1" applyFill="1" applyBorder="1" applyAlignment="1">
      <alignment horizontal="center" vertical="center"/>
    </xf>
    <xf numFmtId="0" fontId="24" fillId="4" borderId="19" xfId="0" applyFont="1" applyFill="1" applyBorder="1" applyAlignment="1">
      <alignment horizontal="center" vertical="center" wrapText="1"/>
    </xf>
    <xf numFmtId="0" fontId="24" fillId="4" borderId="17" xfId="0" applyFont="1" applyFill="1" applyBorder="1" applyAlignment="1">
      <alignment horizontal="center" vertical="center" wrapText="1"/>
    </xf>
    <xf numFmtId="165" fontId="1" fillId="0" borderId="0" xfId="0" applyNumberFormat="1" applyFont="1"/>
    <xf numFmtId="0" fontId="28" fillId="0" borderId="0" xfId="0" applyFont="1" applyAlignment="1">
      <alignment horizontal="center"/>
    </xf>
    <xf numFmtId="0" fontId="17" fillId="0" borderId="0" xfId="0" applyFont="1" applyAlignment="1">
      <alignment horizontal="center"/>
    </xf>
    <xf numFmtId="0" fontId="47" fillId="0" borderId="0" xfId="0" applyFont="1"/>
    <xf numFmtId="0" fontId="17" fillId="0" borderId="0" xfId="0" applyFont="1" applyAlignment="1">
      <alignment wrapText="1"/>
    </xf>
    <xf numFmtId="0" fontId="5" fillId="0" borderId="0" xfId="0" applyFont="1" applyAlignment="1">
      <alignment wrapText="1"/>
    </xf>
    <xf numFmtId="1" fontId="24" fillId="0" borderId="0" xfId="0" applyNumberFormat="1" applyFont="1" applyAlignment="1">
      <alignment horizontal="center" vertical="center" wrapText="1"/>
    </xf>
    <xf numFmtId="0" fontId="44" fillId="0" borderId="0" xfId="0" applyFont="1"/>
    <xf numFmtId="0" fontId="24" fillId="0" borderId="0" xfId="0" applyFont="1" applyAlignment="1">
      <alignment horizontal="justify" vertical="center" wrapText="1"/>
    </xf>
    <xf numFmtId="0" fontId="48" fillId="0" borderId="0" xfId="0" applyFont="1"/>
    <xf numFmtId="169" fontId="27" fillId="0" borderId="0" xfId="0" applyNumberFormat="1" applyFont="1" applyAlignment="1">
      <alignment horizontal="center" vertical="center" wrapText="1"/>
    </xf>
    <xf numFmtId="0" fontId="27" fillId="0" borderId="0" xfId="0" applyFont="1" applyAlignment="1">
      <alignment vertical="center"/>
    </xf>
    <xf numFmtId="167" fontId="24" fillId="0" borderId="0" xfId="0" applyNumberFormat="1" applyFont="1" applyAlignment="1">
      <alignment horizontal="center" wrapText="1"/>
    </xf>
    <xf numFmtId="171" fontId="17" fillId="0" borderId="0" xfId="0" applyNumberFormat="1" applyFont="1"/>
    <xf numFmtId="0" fontId="34" fillId="0" borderId="0" xfId="0" applyFont="1" applyAlignment="1">
      <alignment vertical="center" wrapText="1"/>
    </xf>
    <xf numFmtId="0" fontId="24" fillId="6" borderId="24" xfId="0" applyFont="1" applyFill="1" applyBorder="1" applyAlignment="1">
      <alignment vertical="top" wrapText="1"/>
    </xf>
    <xf numFmtId="0" fontId="28" fillId="2" borderId="0" xfId="0" applyFont="1" applyFill="1"/>
    <xf numFmtId="166" fontId="24" fillId="6" borderId="25" xfId="0" applyNumberFormat="1" applyFont="1" applyFill="1" applyBorder="1" applyAlignment="1">
      <alignment horizontal="center" wrapText="1"/>
    </xf>
    <xf numFmtId="0" fontId="49" fillId="0" borderId="0" xfId="0" applyFont="1" applyAlignment="1">
      <alignment vertical="center" wrapText="1"/>
    </xf>
    <xf numFmtId="0" fontId="50" fillId="4" borderId="17" xfId="0" applyFont="1" applyFill="1" applyBorder="1" applyAlignment="1">
      <alignment horizontal="center" vertical="center" wrapText="1"/>
    </xf>
    <xf numFmtId="0" fontId="51" fillId="0" borderId="0" xfId="1" applyNumberFormat="1" applyFont="1" applyBorder="1" applyAlignment="1">
      <alignment horizontal="center" vertical="center"/>
    </xf>
    <xf numFmtId="0" fontId="51" fillId="0" borderId="0" xfId="0" applyFont="1" applyAlignment="1">
      <alignment horizontal="center" vertical="center"/>
    </xf>
    <xf numFmtId="0" fontId="27" fillId="0" borderId="0" xfId="0" applyFont="1" applyAlignment="1">
      <alignment horizontal="center" vertical="center" wrapText="1"/>
    </xf>
    <xf numFmtId="1" fontId="27" fillId="4" borderId="0" xfId="0" applyNumberFormat="1" applyFont="1" applyFill="1" applyAlignment="1">
      <alignment horizontal="center" vertical="center" wrapText="1"/>
    </xf>
    <xf numFmtId="0" fontId="27" fillId="0" borderId="0" xfId="0" applyFont="1" applyAlignment="1">
      <alignment horizontal="center" vertical="center"/>
    </xf>
    <xf numFmtId="1" fontId="46" fillId="0" borderId="0" xfId="0" applyNumberFormat="1" applyFont="1" applyAlignment="1">
      <alignment horizontal="center" vertical="center" wrapText="1"/>
    </xf>
    <xf numFmtId="0" fontId="35" fillId="0" borderId="0" xfId="0" applyFont="1" applyAlignment="1">
      <alignment horizontal="center" vertical="center" wrapText="1"/>
    </xf>
    <xf numFmtId="171" fontId="30" fillId="4" borderId="8" xfId="0" applyNumberFormat="1" applyFont="1" applyFill="1" applyBorder="1" applyAlignment="1">
      <alignment horizontal="center" vertical="center"/>
    </xf>
    <xf numFmtId="171" fontId="23" fillId="6" borderId="34" xfId="0" applyNumberFormat="1" applyFont="1" applyFill="1" applyBorder="1" applyAlignment="1">
      <alignment horizontal="center" vertical="center"/>
    </xf>
    <xf numFmtId="165" fontId="51" fillId="0" borderId="0" xfId="0" applyNumberFormat="1" applyFont="1" applyAlignment="1">
      <alignment vertical="center" wrapText="1"/>
    </xf>
    <xf numFmtId="165" fontId="31" fillId="0" borderId="0" xfId="0" applyNumberFormat="1" applyFont="1" applyAlignment="1">
      <alignment vertical="center" wrapText="1"/>
    </xf>
    <xf numFmtId="0" fontId="35" fillId="7" borderId="20" xfId="0" applyFont="1" applyFill="1" applyBorder="1" applyAlignment="1">
      <alignment vertical="center" wrapText="1"/>
    </xf>
    <xf numFmtId="1" fontId="46" fillId="7" borderId="20" xfId="0" applyNumberFormat="1" applyFont="1" applyFill="1" applyBorder="1" applyAlignment="1">
      <alignment horizontal="center" vertical="center" wrapText="1"/>
    </xf>
    <xf numFmtId="1" fontId="46" fillId="7" borderId="10" xfId="0" applyNumberFormat="1" applyFont="1" applyFill="1" applyBorder="1" applyAlignment="1">
      <alignment horizontal="center" vertical="center" wrapText="1"/>
    </xf>
    <xf numFmtId="0" fontId="0" fillId="0" borderId="35" xfId="0" applyBorder="1" applyAlignment="1">
      <alignment horizontal="center"/>
    </xf>
    <xf numFmtId="0" fontId="52" fillId="8" borderId="17" xfId="0" applyFont="1" applyFill="1" applyBorder="1" applyAlignment="1">
      <alignment horizontal="center" vertical="center" wrapText="1"/>
    </xf>
    <xf numFmtId="9" fontId="52" fillId="8" borderId="24" xfId="0" applyNumberFormat="1" applyFont="1" applyFill="1" applyBorder="1" applyAlignment="1">
      <alignment horizontal="center" vertical="center" wrapText="1"/>
    </xf>
    <xf numFmtId="0" fontId="52" fillId="8" borderId="24" xfId="0" applyFont="1" applyFill="1" applyBorder="1" applyAlignment="1">
      <alignment horizontal="center" vertical="center" wrapText="1"/>
    </xf>
    <xf numFmtId="171" fontId="36" fillId="4" borderId="17" xfId="0" applyNumberFormat="1" applyFont="1" applyFill="1" applyBorder="1" applyAlignment="1">
      <alignment horizontal="right" vertical="center"/>
    </xf>
    <xf numFmtId="0" fontId="36" fillId="0" borderId="17" xfId="0" applyFont="1" applyBorder="1" applyAlignment="1">
      <alignment horizontal="center" vertical="center"/>
    </xf>
    <xf numFmtId="171" fontId="28" fillId="4" borderId="17" xfId="0" applyNumberFormat="1" applyFont="1" applyFill="1" applyBorder="1" applyAlignment="1">
      <alignment vertical="center"/>
    </xf>
    <xf numFmtId="168" fontId="28" fillId="4" borderId="24" xfId="0" applyNumberFormat="1" applyFont="1" applyFill="1" applyBorder="1" applyAlignment="1">
      <alignment vertical="center" wrapText="1"/>
    </xf>
    <xf numFmtId="0" fontId="36" fillId="0" borderId="24" xfId="0" applyFont="1" applyBorder="1" applyAlignment="1">
      <alignment horizontal="center" vertical="center" wrapText="1"/>
    </xf>
    <xf numFmtId="0" fontId="45" fillId="7" borderId="30" xfId="0" applyFont="1" applyFill="1" applyBorder="1" applyAlignment="1">
      <alignment horizontal="center" vertical="center"/>
    </xf>
    <xf numFmtId="172" fontId="24" fillId="0" borderId="10" xfId="1" applyNumberFormat="1" applyFont="1" applyBorder="1" applyAlignment="1">
      <alignment horizontal="center" vertical="center"/>
    </xf>
    <xf numFmtId="172" fontId="24" fillId="0" borderId="25" xfId="1" applyNumberFormat="1" applyFont="1" applyBorder="1" applyAlignment="1">
      <alignment horizontal="center" vertical="center"/>
    </xf>
    <xf numFmtId="172" fontId="24" fillId="0" borderId="8" xfId="1" applyNumberFormat="1" applyFont="1" applyBorder="1" applyAlignment="1">
      <alignment horizontal="center" vertical="center"/>
    </xf>
    <xf numFmtId="0" fontId="24" fillId="0" borderId="36" xfId="0" applyFont="1" applyBorder="1" applyAlignment="1">
      <alignment horizontal="center" vertical="center"/>
    </xf>
    <xf numFmtId="0" fontId="24" fillId="0" borderId="37" xfId="0" applyFont="1" applyBorder="1" applyAlignment="1">
      <alignment horizontal="center" vertical="center"/>
    </xf>
    <xf numFmtId="0" fontId="24" fillId="0" borderId="38" xfId="0" applyFont="1" applyBorder="1" applyAlignment="1">
      <alignment horizontal="center" vertical="center"/>
    </xf>
    <xf numFmtId="3" fontId="36" fillId="4" borderId="24" xfId="0" applyNumberFormat="1" applyFont="1" applyFill="1" applyBorder="1" applyAlignment="1">
      <alignment horizontal="center" vertical="center" wrapText="1"/>
    </xf>
    <xf numFmtId="171" fontId="28" fillId="0" borderId="8" xfId="0" applyNumberFormat="1" applyFont="1" applyBorder="1" applyAlignment="1">
      <alignment horizontal="center" vertical="center"/>
    </xf>
    <xf numFmtId="171" fontId="28" fillId="0" borderId="8" xfId="1" applyNumberFormat="1" applyFont="1" applyBorder="1" applyAlignment="1">
      <alignment horizontal="center" vertical="center"/>
    </xf>
    <xf numFmtId="171" fontId="28" fillId="0" borderId="25" xfId="0" applyNumberFormat="1" applyFont="1" applyBorder="1" applyAlignment="1">
      <alignment horizontal="center" vertical="center"/>
    </xf>
    <xf numFmtId="171" fontId="23" fillId="4" borderId="17" xfId="0" applyNumberFormat="1" applyFont="1" applyFill="1" applyBorder="1" applyAlignment="1">
      <alignment vertical="center"/>
    </xf>
    <xf numFmtId="172" fontId="28" fillId="0" borderId="17" xfId="1" applyNumberFormat="1" applyFont="1" applyFill="1" applyBorder="1" applyAlignment="1">
      <alignment horizontal="justify" vertical="center" wrapText="1"/>
    </xf>
    <xf numFmtId="0" fontId="29" fillId="4" borderId="26" xfId="0" applyFont="1" applyFill="1" applyBorder="1" applyAlignment="1">
      <alignment horizontal="center" vertical="center" wrapText="1"/>
    </xf>
    <xf numFmtId="0" fontId="1" fillId="0" borderId="17" xfId="0" applyFont="1" applyBorder="1" applyAlignment="1">
      <alignment horizontal="center"/>
    </xf>
    <xf numFmtId="0" fontId="24" fillId="6" borderId="24" xfId="0" applyFont="1" applyFill="1" applyBorder="1" applyAlignment="1">
      <alignment horizontal="center" vertical="center"/>
    </xf>
    <xf numFmtId="172" fontId="29" fillId="4" borderId="26" xfId="0" applyNumberFormat="1" applyFont="1" applyFill="1" applyBorder="1" applyAlignment="1">
      <alignment horizontal="center" vertical="center" wrapText="1"/>
    </xf>
    <xf numFmtId="14" fontId="40" fillId="4" borderId="17" xfId="0" applyNumberFormat="1" applyFont="1" applyFill="1" applyBorder="1" applyAlignment="1">
      <alignment horizontal="center" vertical="center" wrapText="1"/>
    </xf>
    <xf numFmtId="0" fontId="40" fillId="4" borderId="17" xfId="0" applyFont="1" applyFill="1" applyBorder="1" applyAlignment="1">
      <alignment horizontal="center" vertical="center" wrapText="1"/>
    </xf>
    <xf numFmtId="0" fontId="29" fillId="0" borderId="17" xfId="0" applyFont="1" applyBorder="1" applyAlignment="1">
      <alignment horizontal="center" vertical="center"/>
    </xf>
    <xf numFmtId="0" fontId="40" fillId="4" borderId="17" xfId="0" applyFont="1" applyFill="1" applyBorder="1" applyAlignment="1">
      <alignment horizontal="center" vertical="center"/>
    </xf>
    <xf numFmtId="3" fontId="53" fillId="4" borderId="17" xfId="0" applyNumberFormat="1" applyFont="1" applyFill="1" applyBorder="1" applyAlignment="1">
      <alignment horizontal="center" vertical="center" wrapText="1"/>
    </xf>
    <xf numFmtId="0" fontId="53" fillId="4" borderId="17" xfId="0" applyFont="1" applyFill="1" applyBorder="1" applyAlignment="1">
      <alignment horizontal="center" vertical="center" wrapText="1"/>
    </xf>
    <xf numFmtId="1" fontId="41" fillId="4" borderId="17" xfId="0" applyNumberFormat="1" applyFont="1" applyFill="1" applyBorder="1" applyAlignment="1">
      <alignment horizontal="center" vertical="center" wrapText="1"/>
    </xf>
    <xf numFmtId="0" fontId="53" fillId="4" borderId="1" xfId="0" applyFont="1" applyFill="1" applyBorder="1" applyAlignment="1">
      <alignment horizontal="center" vertical="center" wrapText="1"/>
    </xf>
    <xf numFmtId="0" fontId="54" fillId="4" borderId="17" xfId="0" applyFont="1" applyFill="1" applyBorder="1" applyAlignment="1">
      <alignment horizontal="center" vertical="center" wrapText="1"/>
    </xf>
    <xf numFmtId="1" fontId="55" fillId="4" borderId="17" xfId="0" applyNumberFormat="1" applyFont="1" applyFill="1" applyBorder="1" applyAlignment="1">
      <alignment horizontal="center" vertical="center" wrapText="1"/>
    </xf>
    <xf numFmtId="14" fontId="55" fillId="4" borderId="17" xfId="0" applyNumberFormat="1" applyFont="1" applyFill="1" applyBorder="1" applyAlignment="1">
      <alignment horizontal="center" vertical="center" wrapText="1"/>
    </xf>
    <xf numFmtId="2" fontId="55" fillId="4" borderId="17" xfId="0" applyNumberFormat="1" applyFont="1" applyFill="1" applyBorder="1" applyAlignment="1">
      <alignment horizontal="center" vertical="center" wrapText="1"/>
    </xf>
    <xf numFmtId="0" fontId="55" fillId="4" borderId="17" xfId="0" applyFont="1" applyFill="1" applyBorder="1" applyAlignment="1">
      <alignment horizontal="center" vertical="center" wrapText="1"/>
    </xf>
    <xf numFmtId="0" fontId="42" fillId="4" borderId="17" xfId="0" applyFont="1" applyFill="1" applyBorder="1" applyAlignment="1">
      <alignment horizontal="center" vertical="center" wrapText="1"/>
    </xf>
    <xf numFmtId="171" fontId="42" fillId="4" borderId="17" xfId="0" applyNumberFormat="1" applyFont="1" applyFill="1" applyBorder="1" applyAlignment="1">
      <alignment horizontal="right" vertical="center" wrapText="1"/>
    </xf>
    <xf numFmtId="0" fontId="56" fillId="0" borderId="17" xfId="0" applyFont="1" applyBorder="1" applyAlignment="1">
      <alignment horizontal="center" vertical="center" wrapText="1"/>
    </xf>
    <xf numFmtId="0" fontId="43" fillId="0" borderId="17" xfId="0" applyFont="1" applyBorder="1"/>
    <xf numFmtId="0" fontId="43" fillId="0" borderId="17" xfId="0" applyFont="1" applyBorder="1" applyAlignment="1">
      <alignment horizontal="center"/>
    </xf>
    <xf numFmtId="9" fontId="43" fillId="0" borderId="17" xfId="0" applyNumberFormat="1" applyFont="1" applyBorder="1" applyAlignment="1">
      <alignment horizontal="center" vertical="center"/>
    </xf>
    <xf numFmtId="172" fontId="24" fillId="6" borderId="24" xfId="1" applyNumberFormat="1" applyFont="1" applyFill="1" applyBorder="1" applyAlignment="1">
      <alignment horizontal="right" vertical="center"/>
    </xf>
    <xf numFmtId="0" fontId="34" fillId="0" borderId="40" xfId="0" applyFont="1" applyBorder="1" applyAlignment="1">
      <alignment horizontal="center" vertical="center" wrapText="1"/>
    </xf>
    <xf numFmtId="0" fontId="34" fillId="0" borderId="41" xfId="0" applyFont="1" applyBorder="1" applyAlignment="1">
      <alignment horizontal="center" vertical="center" wrapText="1"/>
    </xf>
    <xf numFmtId="0" fontId="34" fillId="0" borderId="42" xfId="0" applyFont="1" applyBorder="1" applyAlignment="1">
      <alignment horizontal="center" vertical="center" wrapText="1"/>
    </xf>
    <xf numFmtId="0" fontId="49" fillId="0" borderId="15" xfId="0" applyFont="1" applyBorder="1" applyAlignment="1">
      <alignment horizontal="center" vertical="center" wrapText="1"/>
    </xf>
    <xf numFmtId="0" fontId="49" fillId="0" borderId="16" xfId="0" applyFont="1" applyBorder="1" applyAlignment="1">
      <alignment horizontal="center" vertical="center" wrapText="1"/>
    </xf>
    <xf numFmtId="0" fontId="49" fillId="0" borderId="43" xfId="0" applyFont="1" applyBorder="1" applyAlignment="1">
      <alignment horizontal="center" vertical="center" wrapText="1"/>
    </xf>
    <xf numFmtId="0" fontId="21" fillId="4" borderId="0" xfId="0" applyFont="1" applyFill="1" applyAlignment="1">
      <alignment horizontal="center" wrapText="1"/>
    </xf>
    <xf numFmtId="172" fontId="20" fillId="4" borderId="0" xfId="1" applyNumberFormat="1" applyFont="1" applyFill="1" applyBorder="1" applyAlignment="1">
      <alignment horizontal="center" wrapText="1"/>
    </xf>
    <xf numFmtId="0" fontId="35" fillId="7" borderId="44" xfId="0" applyFont="1" applyFill="1" applyBorder="1" applyAlignment="1">
      <alignment horizontal="center" vertical="center" wrapText="1"/>
    </xf>
    <xf numFmtId="0" fontId="35" fillId="7" borderId="20" xfId="0" applyFont="1" applyFill="1" applyBorder="1" applyAlignment="1">
      <alignment horizontal="center" vertical="center" wrapText="1"/>
    </xf>
    <xf numFmtId="0" fontId="35" fillId="7" borderId="10" xfId="0" applyFont="1" applyFill="1" applyBorder="1" applyAlignment="1">
      <alignment horizontal="center" vertical="center" wrapText="1"/>
    </xf>
    <xf numFmtId="0" fontId="31" fillId="7" borderId="19" xfId="0" applyFont="1" applyFill="1" applyBorder="1" applyAlignment="1">
      <alignment horizontal="center" vertical="center" wrapText="1"/>
    </xf>
    <xf numFmtId="0" fontId="31" fillId="7" borderId="17" xfId="0" applyFont="1" applyFill="1" applyBorder="1" applyAlignment="1">
      <alignment horizontal="center" vertical="center" wrapText="1"/>
    </xf>
    <xf numFmtId="0" fontId="31" fillId="7" borderId="8" xfId="0" applyFont="1" applyFill="1" applyBorder="1" applyAlignment="1">
      <alignment horizontal="center" vertical="center" wrapText="1"/>
    </xf>
    <xf numFmtId="0" fontId="28" fillId="4" borderId="19"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4" fillId="4" borderId="44" xfId="0" applyFont="1" applyFill="1" applyBorder="1" applyAlignment="1">
      <alignment horizontal="center" vertical="center" wrapText="1"/>
    </xf>
    <xf numFmtId="0" fontId="24" fillId="4" borderId="20" xfId="0" applyFont="1" applyFill="1" applyBorder="1" applyAlignment="1">
      <alignment horizontal="center" vertical="center" wrapText="1"/>
    </xf>
    <xf numFmtId="0" fontId="24" fillId="4" borderId="19" xfId="0" applyFont="1" applyFill="1" applyBorder="1" applyAlignment="1">
      <alignment horizontal="center" vertical="center" wrapText="1"/>
    </xf>
    <xf numFmtId="0" fontId="24" fillId="4" borderId="17" xfId="0" applyFont="1" applyFill="1" applyBorder="1" applyAlignment="1">
      <alignment horizontal="center" vertical="center" wrapText="1"/>
    </xf>
    <xf numFmtId="0" fontId="31" fillId="7" borderId="10" xfId="0" applyFont="1" applyFill="1" applyBorder="1" applyAlignment="1">
      <alignment horizontal="center" vertical="center" wrapText="1"/>
    </xf>
    <xf numFmtId="0" fontId="31" fillId="7" borderId="39" xfId="0" applyFont="1" applyFill="1" applyBorder="1" applyAlignment="1">
      <alignment horizontal="center" vertical="center" wrapText="1"/>
    </xf>
    <xf numFmtId="0" fontId="33" fillId="0" borderId="19" xfId="0" applyFont="1" applyBorder="1" applyAlignment="1">
      <alignment horizontal="left" vertical="center" wrapText="1"/>
    </xf>
    <xf numFmtId="0" fontId="33" fillId="0" borderId="17" xfId="0" applyFont="1" applyBorder="1" applyAlignment="1">
      <alignment horizontal="left" vertical="center" wrapText="1"/>
    </xf>
    <xf numFmtId="0" fontId="57" fillId="0" borderId="0" xfId="0" applyFont="1" applyAlignment="1">
      <alignment horizontal="center" vertical="center" wrapText="1"/>
    </xf>
    <xf numFmtId="0" fontId="24" fillId="4" borderId="23" xfId="0" applyFont="1" applyFill="1" applyBorder="1" applyAlignment="1">
      <alignment horizontal="center" vertical="center" wrapText="1"/>
    </xf>
    <xf numFmtId="0" fontId="24" fillId="4" borderId="24" xfId="0" applyFont="1" applyFill="1" applyBorder="1" applyAlignment="1">
      <alignment horizontal="center" vertical="center" wrapText="1"/>
    </xf>
    <xf numFmtId="171" fontId="30" fillId="0" borderId="19" xfId="0" applyNumberFormat="1" applyFont="1" applyBorder="1" applyAlignment="1">
      <alignment horizontal="center" vertical="center"/>
    </xf>
    <xf numFmtId="171" fontId="30" fillId="0" borderId="17" xfId="0" applyNumberFormat="1" applyFont="1" applyBorder="1" applyAlignment="1">
      <alignment horizontal="center" vertical="center"/>
    </xf>
    <xf numFmtId="0" fontId="24" fillId="4" borderId="49" xfId="0" applyFont="1" applyFill="1" applyBorder="1" applyAlignment="1">
      <alignment horizontal="center" vertical="center" wrapText="1"/>
    </xf>
    <xf numFmtId="0" fontId="24" fillId="4" borderId="28" xfId="0" applyFont="1" applyFill="1" applyBorder="1" applyAlignment="1">
      <alignment horizontal="center" vertical="center" wrapText="1"/>
    </xf>
    <xf numFmtId="0" fontId="34" fillId="4" borderId="3" xfId="0" applyFont="1" applyFill="1" applyBorder="1" applyAlignment="1" applyProtection="1">
      <alignment horizontal="center" vertical="center" wrapText="1"/>
      <protection locked="0"/>
    </xf>
    <xf numFmtId="0" fontId="34" fillId="4" borderId="5" xfId="0" applyFont="1" applyFill="1" applyBorder="1" applyAlignment="1" applyProtection="1">
      <alignment horizontal="center" vertical="center" wrapText="1"/>
      <protection locked="0"/>
    </xf>
    <xf numFmtId="0" fontId="36" fillId="4" borderId="36" xfId="0" applyFont="1" applyFill="1" applyBorder="1" applyAlignment="1" applyProtection="1">
      <alignment horizontal="center" vertical="center" wrapText="1"/>
      <protection locked="0"/>
    </xf>
    <xf numFmtId="0" fontId="36" fillId="4" borderId="42" xfId="0" applyFont="1" applyFill="1" applyBorder="1" applyAlignment="1" applyProtection="1">
      <alignment horizontal="center" vertical="center" wrapText="1"/>
      <protection locked="0"/>
    </xf>
    <xf numFmtId="0" fontId="36" fillId="4" borderId="38" xfId="0" applyFont="1" applyFill="1" applyBorder="1" applyAlignment="1" applyProtection="1">
      <alignment horizontal="center" vertical="center" wrapText="1"/>
      <protection locked="0"/>
    </xf>
    <xf numFmtId="0" fontId="36" fillId="4" borderId="45" xfId="0" applyFont="1" applyFill="1" applyBorder="1" applyAlignment="1" applyProtection="1">
      <alignment horizontal="center" vertical="center" wrapText="1"/>
      <protection locked="0"/>
    </xf>
    <xf numFmtId="0" fontId="31" fillId="7" borderId="2" xfId="0" applyFont="1" applyFill="1" applyBorder="1" applyAlignment="1">
      <alignment horizontal="center" vertical="center" wrapText="1"/>
    </xf>
    <xf numFmtId="0" fontId="31" fillId="7" borderId="3" xfId="0" applyFont="1" applyFill="1" applyBorder="1" applyAlignment="1">
      <alignment horizontal="center" vertical="center" wrapText="1"/>
    </xf>
    <xf numFmtId="0" fontId="31" fillId="7" borderId="46" xfId="0" applyFont="1" applyFill="1" applyBorder="1" applyAlignment="1">
      <alignment horizontal="center" vertical="center" wrapText="1"/>
    </xf>
    <xf numFmtId="0" fontId="31" fillId="7" borderId="1" xfId="0" applyFont="1" applyFill="1" applyBorder="1" applyAlignment="1">
      <alignment horizontal="center" vertical="center" wrapText="1"/>
    </xf>
    <xf numFmtId="0" fontId="45" fillId="7" borderId="3" xfId="0" applyFont="1" applyFill="1" applyBorder="1" applyAlignment="1">
      <alignment horizontal="center" vertical="center" wrapText="1"/>
    </xf>
    <xf numFmtId="0" fontId="45" fillId="7" borderId="12" xfId="0" applyFont="1" applyFill="1" applyBorder="1" applyAlignment="1">
      <alignment horizontal="center" vertical="center" wrapText="1"/>
    </xf>
    <xf numFmtId="0" fontId="45" fillId="7" borderId="1" xfId="0" applyFont="1" applyFill="1" applyBorder="1" applyAlignment="1">
      <alignment horizontal="center" vertical="center" wrapText="1"/>
    </xf>
    <xf numFmtId="0" fontId="45" fillId="7" borderId="47" xfId="0" applyFont="1" applyFill="1" applyBorder="1" applyAlignment="1">
      <alignment horizontal="center" vertical="center" wrapText="1"/>
    </xf>
    <xf numFmtId="0" fontId="31" fillId="7" borderId="44" xfId="0" applyFont="1" applyFill="1" applyBorder="1" applyAlignment="1">
      <alignment horizontal="center" vertical="center" wrapText="1"/>
    </xf>
    <xf numFmtId="0" fontId="31" fillId="7" borderId="20" xfId="0" applyFont="1" applyFill="1" applyBorder="1" applyAlignment="1">
      <alignment horizontal="center" vertical="center" wrapText="1"/>
    </xf>
    <xf numFmtId="0" fontId="31" fillId="7" borderId="48" xfId="0" applyFont="1" applyFill="1" applyBorder="1" applyAlignment="1">
      <alignment horizontal="center" vertical="center" wrapText="1"/>
    </xf>
    <xf numFmtId="0" fontId="31" fillId="7" borderId="26" xfId="0" applyFont="1" applyFill="1" applyBorder="1" applyAlignment="1">
      <alignment horizontal="center" vertical="center" wrapText="1"/>
    </xf>
    <xf numFmtId="0" fontId="31" fillId="7" borderId="36" xfId="0" applyFont="1" applyFill="1" applyBorder="1" applyAlignment="1">
      <alignment horizontal="center" vertical="center" wrapText="1"/>
    </xf>
    <xf numFmtId="0" fontId="31" fillId="7" borderId="50" xfId="0" applyFont="1" applyFill="1" applyBorder="1" applyAlignment="1">
      <alignment horizontal="center" vertical="center" wrapText="1"/>
    </xf>
    <xf numFmtId="0" fontId="28" fillId="4" borderId="19" xfId="0" applyFont="1" applyFill="1" applyBorder="1" applyAlignment="1">
      <alignment horizontal="center" vertical="center"/>
    </xf>
    <xf numFmtId="0" fontId="28" fillId="4" borderId="17" xfId="0" applyFont="1" applyFill="1" applyBorder="1" applyAlignment="1">
      <alignment horizontal="center" vertical="center"/>
    </xf>
    <xf numFmtId="0" fontId="32" fillId="0" borderId="0" xfId="0" applyFont="1" applyAlignment="1">
      <alignment horizontal="center" vertical="center" wrapText="1"/>
    </xf>
    <xf numFmtId="1" fontId="24" fillId="4" borderId="0" xfId="0" applyNumberFormat="1" applyFont="1" applyFill="1" applyAlignment="1">
      <alignment horizontal="center" vertical="center" wrapText="1"/>
    </xf>
    <xf numFmtId="171" fontId="23" fillId="6" borderId="6" xfId="0" applyNumberFormat="1" applyFont="1" applyFill="1" applyBorder="1" applyAlignment="1">
      <alignment horizontal="center" vertical="center"/>
    </xf>
    <xf numFmtId="171" fontId="23" fillId="6" borderId="22" xfId="0" applyNumberFormat="1" applyFont="1" applyFill="1" applyBorder="1" applyAlignment="1">
      <alignment horizontal="center" vertical="center"/>
    </xf>
    <xf numFmtId="0" fontId="19" fillId="4" borderId="0" xfId="0" applyFont="1" applyFill="1" applyAlignment="1">
      <alignment horizontal="center" vertical="center" wrapText="1"/>
    </xf>
    <xf numFmtId="0" fontId="33" fillId="6" borderId="23" xfId="0" applyFont="1" applyFill="1" applyBorder="1" applyAlignment="1">
      <alignment horizontal="left" vertical="center" wrapText="1"/>
    </xf>
    <xf numFmtId="0" fontId="33" fillId="6" borderId="24" xfId="0" applyFont="1" applyFill="1" applyBorder="1" applyAlignment="1">
      <alignment horizontal="left"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7" fillId="0" borderId="1" xfId="0" applyFont="1" applyBorder="1" applyAlignment="1">
      <alignment horizontal="center" vertical="center" wrapText="1"/>
    </xf>
    <xf numFmtId="0" fontId="27" fillId="0" borderId="47" xfId="0" applyFont="1" applyBorder="1" applyAlignment="1">
      <alignment horizontal="center" vertical="center" wrapText="1"/>
    </xf>
    <xf numFmtId="0" fontId="27" fillId="6" borderId="51" xfId="0" applyFont="1" applyFill="1" applyBorder="1" applyAlignment="1">
      <alignment horizontal="center" vertical="center"/>
    </xf>
    <xf numFmtId="0" fontId="27" fillId="6" borderId="24" xfId="0" applyFont="1" applyFill="1" applyBorder="1" applyAlignment="1">
      <alignment horizontal="center" vertical="center"/>
    </xf>
    <xf numFmtId="0" fontId="27" fillId="6" borderId="25" xfId="0" applyFont="1" applyFill="1" applyBorder="1" applyAlignment="1">
      <alignment horizontal="center" vertical="center"/>
    </xf>
    <xf numFmtId="0" fontId="45" fillId="9" borderId="2" xfId="0" applyFont="1" applyFill="1" applyBorder="1" applyAlignment="1">
      <alignment horizontal="center" vertical="center" wrapText="1"/>
    </xf>
    <xf numFmtId="0" fontId="45" fillId="9" borderId="6" xfId="0" applyFont="1" applyFill="1" applyBorder="1" applyAlignment="1">
      <alignment horizontal="center" vertical="center" wrapText="1"/>
    </xf>
    <xf numFmtId="0" fontId="27" fillId="0" borderId="14" xfId="0" applyFont="1" applyBorder="1" applyAlignment="1">
      <alignment horizontal="center" vertical="center" wrapText="1"/>
    </xf>
    <xf numFmtId="0" fontId="27" fillId="0" borderId="28"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 xfId="0" applyFont="1" applyBorder="1" applyAlignment="1">
      <alignment horizontal="center" vertical="center" wrapText="1"/>
    </xf>
    <xf numFmtId="0" fontId="35" fillId="7" borderId="2" xfId="0" applyFont="1" applyFill="1" applyBorder="1" applyAlignment="1">
      <alignment horizontal="center" vertical="center" wrapText="1"/>
    </xf>
    <xf numFmtId="0" fontId="35" fillId="7" borderId="3" xfId="0" applyFont="1" applyFill="1" applyBorder="1" applyAlignment="1">
      <alignment horizontal="center" vertical="center" wrapText="1"/>
    </xf>
    <xf numFmtId="0" fontId="35" fillId="7" borderId="12" xfId="0" applyFont="1" applyFill="1" applyBorder="1" applyAlignment="1">
      <alignment horizontal="center" vertical="center" wrapText="1"/>
    </xf>
    <xf numFmtId="0" fontId="4" fillId="5" borderId="40" xfId="0" applyFont="1" applyFill="1" applyBorder="1" applyAlignment="1">
      <alignment horizontal="center" vertical="center"/>
    </xf>
    <xf numFmtId="0" fontId="4" fillId="5" borderId="41" xfId="0" applyFont="1" applyFill="1" applyBorder="1" applyAlignment="1">
      <alignment horizontal="center" vertical="center"/>
    </xf>
    <xf numFmtId="0" fontId="4" fillId="5" borderId="42" xfId="0" applyFont="1" applyFill="1" applyBorder="1" applyAlignment="1">
      <alignment horizontal="center" vertical="center"/>
    </xf>
    <xf numFmtId="0" fontId="7" fillId="0" borderId="19" xfId="0" applyFont="1" applyBorder="1" applyAlignment="1">
      <alignment horizontal="center"/>
    </xf>
    <xf numFmtId="0" fontId="7" fillId="0" borderId="17" xfId="0" applyFont="1" applyBorder="1" applyAlignment="1">
      <alignment horizontal="center"/>
    </xf>
    <xf numFmtId="0" fontId="7" fillId="0" borderId="37" xfId="0" applyFont="1" applyBorder="1" applyAlignment="1">
      <alignment horizontal="center"/>
    </xf>
    <xf numFmtId="0" fontId="7" fillId="0" borderId="8" xfId="0" applyFont="1" applyBorder="1" applyAlignment="1">
      <alignment horizontal="center"/>
    </xf>
    <xf numFmtId="167" fontId="17" fillId="0" borderId="49" xfId="0" applyNumberFormat="1" applyFont="1" applyBorder="1" applyAlignment="1">
      <alignment horizontal="left" vertical="center" wrapText="1"/>
    </xf>
    <xf numFmtId="167" fontId="17" fillId="0" borderId="14" xfId="0" applyNumberFormat="1" applyFont="1" applyBorder="1" applyAlignment="1">
      <alignment horizontal="left" vertical="center" wrapText="1"/>
    </xf>
    <xf numFmtId="167" fontId="17" fillId="0" borderId="28" xfId="0" applyNumberFormat="1" applyFont="1" applyBorder="1" applyAlignment="1">
      <alignment horizontal="left" vertical="center" wrapText="1"/>
    </xf>
    <xf numFmtId="0" fontId="11" fillId="0" borderId="49" xfId="0" applyFont="1" applyBorder="1" applyAlignment="1">
      <alignment horizontal="left" vertical="center"/>
    </xf>
    <xf numFmtId="0" fontId="11" fillId="0" borderId="14" xfId="0" applyFont="1" applyBorder="1" applyAlignment="1">
      <alignment horizontal="left" vertical="center"/>
    </xf>
    <xf numFmtId="0" fontId="11" fillId="0" borderId="28" xfId="0" applyFont="1" applyBorder="1" applyAlignment="1">
      <alignment horizontal="left" vertical="center"/>
    </xf>
    <xf numFmtId="0" fontId="6" fillId="0" borderId="0" xfId="0" applyFont="1" applyAlignment="1">
      <alignment horizontal="left"/>
    </xf>
    <xf numFmtId="0" fontId="7" fillId="0" borderId="1" xfId="0" applyFont="1" applyBorder="1" applyAlignment="1">
      <alignment horizontal="center" wrapText="1"/>
    </xf>
    <xf numFmtId="0" fontId="7" fillId="0" borderId="14" xfId="0" applyFont="1" applyBorder="1" applyAlignment="1">
      <alignment horizontal="center"/>
    </xf>
    <xf numFmtId="3" fontId="3" fillId="10" borderId="15" xfId="0" applyNumberFormat="1" applyFont="1" applyFill="1" applyBorder="1" applyAlignment="1">
      <alignment horizontal="center" vertical="center"/>
    </xf>
    <xf numFmtId="3" fontId="3" fillId="10" borderId="16" xfId="0" applyNumberFormat="1" applyFont="1" applyFill="1" applyBorder="1" applyAlignment="1">
      <alignment horizontal="center" vertical="center"/>
    </xf>
    <xf numFmtId="0" fontId="3" fillId="10" borderId="43" xfId="0" applyFont="1" applyFill="1" applyBorder="1" applyAlignment="1">
      <alignment horizontal="center" vertical="center"/>
    </xf>
    <xf numFmtId="0" fontId="5" fillId="0" borderId="0" xfId="0" applyFont="1" applyAlignment="1">
      <alignment horizontal="left"/>
    </xf>
    <xf numFmtId="0" fontId="2" fillId="0" borderId="5" xfId="0" applyFont="1" applyBorder="1" applyAlignment="1">
      <alignment horizontal="center"/>
    </xf>
    <xf numFmtId="0" fontId="3" fillId="0" borderId="3" xfId="0" applyFont="1" applyBorder="1" applyAlignment="1">
      <alignment horizontal="center" vertical="center"/>
    </xf>
    <xf numFmtId="167" fontId="11" fillId="0" borderId="19" xfId="0" applyNumberFormat="1" applyFont="1" applyBorder="1" applyAlignment="1">
      <alignment horizontal="left" vertical="center" wrapText="1"/>
    </xf>
    <xf numFmtId="167" fontId="11" fillId="0" borderId="17" xfId="0" applyNumberFormat="1" applyFont="1" applyBorder="1" applyAlignment="1">
      <alignment horizontal="left" vertical="center" wrapText="1"/>
    </xf>
    <xf numFmtId="167" fontId="17" fillId="3" borderId="15" xfId="0" applyNumberFormat="1" applyFont="1" applyFill="1" applyBorder="1" applyAlignment="1">
      <alignment horizontal="left" vertical="center"/>
    </xf>
    <xf numFmtId="167" fontId="17" fillId="3" borderId="16" xfId="0" applyNumberFormat="1" applyFont="1" applyFill="1" applyBorder="1" applyAlignment="1">
      <alignment horizontal="left" vertical="center"/>
    </xf>
    <xf numFmtId="167" fontId="17" fillId="3" borderId="52" xfId="0" applyNumberFormat="1" applyFont="1" applyFill="1" applyBorder="1" applyAlignment="1">
      <alignment horizontal="left" vertical="center"/>
    </xf>
    <xf numFmtId="167" fontId="11" fillId="0" borderId="44" xfId="0" applyNumberFormat="1" applyFont="1" applyBorder="1" applyAlignment="1">
      <alignment horizontal="left" vertical="center" wrapText="1"/>
    </xf>
    <xf numFmtId="167" fontId="11" fillId="0" borderId="20" xfId="0" applyNumberFormat="1" applyFont="1" applyBorder="1" applyAlignment="1">
      <alignment horizontal="left" vertical="center" wrapText="1"/>
    </xf>
    <xf numFmtId="167" fontId="11" fillId="0" borderId="49" xfId="0" applyNumberFormat="1" applyFont="1" applyBorder="1" applyAlignment="1">
      <alignment horizontal="left" vertical="center" wrapText="1"/>
    </xf>
    <xf numFmtId="167" fontId="11" fillId="0" borderId="14" xfId="0" applyNumberFormat="1" applyFont="1" applyBorder="1" applyAlignment="1">
      <alignment horizontal="left" vertical="center" wrapText="1"/>
    </xf>
    <xf numFmtId="167" fontId="11" fillId="0" borderId="28" xfId="0" applyNumberFormat="1" applyFont="1" applyBorder="1" applyAlignment="1">
      <alignment horizontal="left" vertical="center" wrapText="1"/>
    </xf>
    <xf numFmtId="0" fontId="7" fillId="0" borderId="0" xfId="0" applyFont="1" applyAlignment="1">
      <alignment horizontal="left"/>
    </xf>
    <xf numFmtId="0" fontId="9" fillId="0" borderId="32" xfId="0" applyFont="1" applyBorder="1" applyAlignment="1">
      <alignment horizontal="center" wrapText="1"/>
    </xf>
    <xf numFmtId="0" fontId="9" fillId="0" borderId="33" xfId="0" applyFont="1" applyBorder="1" applyAlignment="1">
      <alignment horizont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3" xfId="0" applyFont="1" applyBorder="1" applyAlignment="1">
      <alignment horizontal="center" vertical="center" wrapText="1"/>
    </xf>
    <xf numFmtId="167" fontId="11" fillId="3" borderId="15" xfId="0" applyNumberFormat="1" applyFont="1" applyFill="1" applyBorder="1" applyAlignment="1">
      <alignment horizontal="left" vertical="center"/>
    </xf>
    <xf numFmtId="167" fontId="11" fillId="3" borderId="16" xfId="0" applyNumberFormat="1" applyFont="1" applyFill="1" applyBorder="1" applyAlignment="1">
      <alignment horizontal="left" vertical="center"/>
    </xf>
    <xf numFmtId="167" fontId="11" fillId="3" borderId="52" xfId="0" applyNumberFormat="1" applyFont="1" applyFill="1" applyBorder="1" applyAlignment="1">
      <alignment horizontal="left" vertical="center"/>
    </xf>
    <xf numFmtId="167" fontId="12" fillId="0" borderId="15" xfId="0" applyNumberFormat="1" applyFont="1" applyBorder="1" applyAlignment="1">
      <alignment horizontal="left" vertical="center" wrapText="1"/>
    </xf>
    <xf numFmtId="167" fontId="12" fillId="0" borderId="16" xfId="0" applyNumberFormat="1" applyFont="1" applyBorder="1" applyAlignment="1">
      <alignment horizontal="left" vertical="center" wrapText="1"/>
    </xf>
    <xf numFmtId="167" fontId="12" fillId="0" borderId="43" xfId="0" applyNumberFormat="1" applyFont="1" applyBorder="1" applyAlignment="1">
      <alignment horizontal="left" vertical="center" wrapText="1"/>
    </xf>
    <xf numFmtId="3" fontId="3" fillId="10" borderId="43" xfId="0" applyNumberFormat="1" applyFont="1" applyFill="1" applyBorder="1" applyAlignment="1">
      <alignment horizontal="center" vertical="center"/>
    </xf>
    <xf numFmtId="0" fontId="3" fillId="10" borderId="15" xfId="0" applyFont="1" applyFill="1" applyBorder="1" applyAlignment="1">
      <alignment horizontal="center" vertical="center"/>
    </xf>
    <xf numFmtId="0" fontId="3" fillId="10" borderId="16" xfId="0" applyFont="1" applyFill="1" applyBorder="1" applyAlignment="1">
      <alignment horizontal="center" vertical="center"/>
    </xf>
    <xf numFmtId="0" fontId="10" fillId="2" borderId="0" xfId="0" applyFont="1" applyFill="1" applyAlignment="1">
      <alignment horizontal="center" vertical="justify"/>
    </xf>
    <xf numFmtId="0" fontId="58" fillId="8" borderId="20" xfId="0" applyFont="1" applyFill="1" applyBorder="1" applyAlignment="1">
      <alignment horizontal="center" vertical="center" wrapText="1"/>
    </xf>
    <xf numFmtId="0" fontId="58" fillId="8" borderId="10" xfId="0" applyFont="1" applyFill="1" applyBorder="1" applyAlignment="1">
      <alignment horizontal="center" vertical="center" wrapText="1"/>
    </xf>
    <xf numFmtId="0" fontId="59" fillId="8" borderId="8" xfId="0" applyFont="1" applyFill="1" applyBorder="1" applyAlignment="1">
      <alignment horizontal="center" vertical="center" wrapText="1"/>
    </xf>
    <xf numFmtId="0" fontId="59" fillId="8" borderId="25" xfId="0" applyFont="1" applyFill="1" applyBorder="1" applyAlignment="1">
      <alignment horizontal="center" vertical="center" wrapText="1"/>
    </xf>
    <xf numFmtId="0" fontId="52" fillId="8" borderId="17" xfId="0" applyFont="1" applyFill="1" applyBorder="1" applyAlignment="1">
      <alignment horizontal="center" vertical="center" wrapText="1"/>
    </xf>
    <xf numFmtId="0" fontId="58" fillId="8" borderId="44" xfId="0" applyFont="1" applyFill="1" applyBorder="1" applyAlignment="1">
      <alignment horizontal="center" vertical="center"/>
    </xf>
    <xf numFmtId="0" fontId="58" fillId="8" borderId="19" xfId="0" applyFont="1" applyFill="1" applyBorder="1" applyAlignment="1">
      <alignment horizontal="center" vertical="center"/>
    </xf>
    <xf numFmtId="0" fontId="58" fillId="8" borderId="23" xfId="0" applyFont="1" applyFill="1" applyBorder="1" applyAlignment="1">
      <alignment horizontal="center" vertical="center"/>
    </xf>
    <xf numFmtId="0" fontId="58" fillId="8" borderId="20" xfId="0" applyFont="1" applyFill="1" applyBorder="1" applyAlignment="1">
      <alignment horizontal="center" vertical="center"/>
    </xf>
    <xf numFmtId="0" fontId="58" fillId="8" borderId="17" xfId="0" applyFont="1" applyFill="1" applyBorder="1" applyAlignment="1">
      <alignment horizontal="center" vertical="center"/>
    </xf>
    <xf numFmtId="0" fontId="58" fillId="8" borderId="26" xfId="0" applyFont="1" applyFill="1" applyBorder="1" applyAlignment="1">
      <alignment horizontal="center" vertical="center"/>
    </xf>
  </cellXfs>
  <cellStyles count="4">
    <cellStyle name="Moneda" xfId="1" builtinId="4"/>
    <cellStyle name="Normal" xfId="0" builtinId="0"/>
    <cellStyle name="Normal 2" xfId="2" xr:uid="{D920B0BF-ED62-4761-A7B4-44E7AA3380A5}"/>
    <cellStyle name="Normal 3" xfId="3" xr:uid="{1691BC11-1E88-46D9-8A21-1B32570E2113}"/>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428625</xdr:colOff>
      <xdr:row>0</xdr:row>
      <xdr:rowOff>28575</xdr:rowOff>
    </xdr:from>
    <xdr:to>
      <xdr:col>0</xdr:col>
      <xdr:colOff>1190625</xdr:colOff>
      <xdr:row>2</xdr:row>
      <xdr:rowOff>19050</xdr:rowOff>
    </xdr:to>
    <xdr:pic>
      <xdr:nvPicPr>
        <xdr:cNvPr id="2300" name="Imagen 1" descr="Universidad de Pamplona - Recursos de Imagen Institucional">
          <a:extLst>
            <a:ext uri="{FF2B5EF4-FFF2-40B4-BE49-F238E27FC236}">
              <a16:creationId xmlns:a16="http://schemas.microsoft.com/office/drawing/2014/main" id="{6F9F4ABD-DB4D-B9D7-B37F-FB89519459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28575"/>
          <a:ext cx="7620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171450</xdr:colOff>
      <xdr:row>1</xdr:row>
      <xdr:rowOff>19050</xdr:rowOff>
    </xdr:from>
    <xdr:to>
      <xdr:col>1</xdr:col>
      <xdr:colOff>752475</xdr:colOff>
      <xdr:row>2</xdr:row>
      <xdr:rowOff>219075</xdr:rowOff>
    </xdr:to>
    <xdr:pic>
      <xdr:nvPicPr>
        <xdr:cNvPr id="3217" name="Picture 1" descr="unipamplona">
          <a:extLst>
            <a:ext uri="{FF2B5EF4-FFF2-40B4-BE49-F238E27FC236}">
              <a16:creationId xmlns:a16="http://schemas.microsoft.com/office/drawing/2014/main" id="{8E432FE9-B212-A07E-171D-239747A870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80975"/>
          <a:ext cx="58102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C52E3-4990-4A87-9E76-2E2C6A72F062}">
  <dimension ref="A1:CX29"/>
  <sheetViews>
    <sheetView tabSelected="1" topLeftCell="A8" zoomScale="34" zoomScaleNormal="34" zoomScaleSheetLayoutView="69" workbookViewId="0">
      <selection activeCell="G15" sqref="G15"/>
    </sheetView>
  </sheetViews>
  <sheetFormatPr baseColWidth="10" defaultRowHeight="12.75"/>
  <cols>
    <col min="1" max="1" width="24.85546875" customWidth="1"/>
    <col min="2" max="2" width="66.28515625" customWidth="1"/>
    <col min="3" max="3" width="46.28515625" customWidth="1"/>
    <col min="4" max="4" width="0.140625" hidden="1" customWidth="1"/>
    <col min="5" max="5" width="59.42578125" customWidth="1"/>
    <col min="6" max="6" width="33.140625" customWidth="1"/>
    <col min="7" max="7" width="36.28515625" customWidth="1"/>
    <col min="8" max="8" width="22" customWidth="1"/>
    <col min="9" max="9" width="46.85546875" customWidth="1"/>
    <col min="10" max="10" width="43.7109375" customWidth="1"/>
    <col min="11" max="11" width="39.85546875" customWidth="1"/>
    <col min="12" max="12" width="24.85546875" customWidth="1"/>
    <col min="13" max="13" width="19.85546875" hidden="1" customWidth="1"/>
    <col min="14" max="14" width="23" hidden="1" customWidth="1"/>
    <col min="15" max="15" width="37" customWidth="1"/>
    <col min="16" max="16" width="33.28515625" customWidth="1"/>
    <col min="17" max="17" width="39.5703125" customWidth="1"/>
    <col min="18" max="19" width="31.140625" customWidth="1"/>
    <col min="20" max="20" width="26.85546875" customWidth="1"/>
    <col min="21" max="21" width="27.42578125" customWidth="1"/>
    <col min="22" max="22" width="28.140625" customWidth="1"/>
    <col min="23" max="24" width="29" customWidth="1"/>
    <col min="25" max="25" width="27.140625" customWidth="1"/>
    <col min="27" max="27" width="13.7109375" bestFit="1" customWidth="1"/>
  </cols>
  <sheetData>
    <row r="1" spans="1:25" ht="50.45" customHeight="1">
      <c r="A1" s="122"/>
      <c r="B1" s="81"/>
      <c r="C1" s="242" t="s">
        <v>70</v>
      </c>
      <c r="D1" s="242"/>
      <c r="E1" s="242"/>
      <c r="F1" s="242"/>
      <c r="G1" s="242"/>
      <c r="H1" s="242"/>
      <c r="I1" s="242"/>
      <c r="J1" s="242"/>
      <c r="K1" s="242"/>
      <c r="L1" s="242"/>
      <c r="M1" s="242"/>
      <c r="N1" s="242"/>
      <c r="O1" s="242"/>
      <c r="P1" s="242"/>
      <c r="Q1" s="242"/>
      <c r="R1" s="242"/>
      <c r="S1" s="242"/>
      <c r="T1" s="242"/>
      <c r="U1" s="82"/>
      <c r="V1" s="83"/>
      <c r="W1" s="124" t="s">
        <v>0</v>
      </c>
      <c r="X1" s="244" t="s">
        <v>1</v>
      </c>
      <c r="Y1" s="245"/>
    </row>
    <row r="2" spans="1:25" ht="28.5" thickBot="1">
      <c r="A2" s="123"/>
      <c r="B2" s="84"/>
      <c r="C2" s="243"/>
      <c r="D2" s="243"/>
      <c r="E2" s="243"/>
      <c r="F2" s="243"/>
      <c r="G2" s="243"/>
      <c r="H2" s="243"/>
      <c r="I2" s="243"/>
      <c r="J2" s="243"/>
      <c r="K2" s="243"/>
      <c r="L2" s="243"/>
      <c r="M2" s="243"/>
      <c r="N2" s="243"/>
      <c r="O2" s="243"/>
      <c r="P2" s="243"/>
      <c r="Q2" s="243"/>
      <c r="R2" s="243"/>
      <c r="S2" s="243"/>
      <c r="T2" s="243"/>
      <c r="U2" s="85"/>
      <c r="V2" s="86"/>
      <c r="W2" s="125" t="s">
        <v>2</v>
      </c>
      <c r="X2" s="246" t="s">
        <v>69</v>
      </c>
      <c r="Y2" s="247"/>
    </row>
    <row r="3" spans="1:25" ht="18">
      <c r="A3" s="35"/>
      <c r="B3" s="39"/>
      <c r="C3" s="39"/>
      <c r="D3" s="39"/>
      <c r="E3" s="39"/>
      <c r="F3" s="39"/>
      <c r="G3" s="39"/>
      <c r="H3" s="39"/>
      <c r="I3" s="39"/>
      <c r="J3" s="39"/>
      <c r="K3" s="39"/>
      <c r="L3" s="39"/>
      <c r="M3" s="39"/>
      <c r="N3" s="39"/>
      <c r="O3" s="39"/>
      <c r="P3" s="40"/>
      <c r="Q3" s="42"/>
      <c r="R3" s="39"/>
      <c r="S3" s="40"/>
      <c r="T3" s="37"/>
      <c r="U3" s="38"/>
      <c r="W3" s="37"/>
      <c r="X3" s="37"/>
      <c r="Y3" s="136"/>
    </row>
    <row r="4" spans="1:25" s="36" customFormat="1" ht="28.15" customHeight="1">
      <c r="F4" s="58"/>
      <c r="G4" s="58"/>
      <c r="H4" s="44"/>
      <c r="I4" s="217"/>
      <c r="J4" s="217"/>
      <c r="K4" s="218"/>
      <c r="L4" s="218"/>
      <c r="M4" s="44"/>
      <c r="N4" s="44"/>
      <c r="O4" s="44"/>
      <c r="P4" s="45"/>
      <c r="Y4" s="135"/>
    </row>
    <row r="5" spans="1:25" s="36" customFormat="1" ht="28.15" customHeight="1" thickBot="1">
      <c r="F5" s="58"/>
      <c r="G5" s="58"/>
      <c r="H5" s="44"/>
      <c r="I5" s="56"/>
      <c r="J5" s="56"/>
      <c r="K5" s="57"/>
      <c r="L5" s="57"/>
      <c r="M5" s="44"/>
      <c r="N5" s="44"/>
      <c r="O5" s="44"/>
      <c r="P5" s="45"/>
      <c r="Y5" s="135"/>
    </row>
    <row r="6" spans="1:25" s="36" customFormat="1" ht="57.75" customHeight="1">
      <c r="A6" s="219" t="s">
        <v>80</v>
      </c>
      <c r="B6" s="220"/>
      <c r="C6" s="220"/>
      <c r="D6" s="162"/>
      <c r="E6" s="163" t="s">
        <v>77</v>
      </c>
      <c r="F6" s="164" t="s">
        <v>82</v>
      </c>
      <c r="G6" s="156"/>
      <c r="H6" s="77"/>
      <c r="I6" s="219" t="s">
        <v>4</v>
      </c>
      <c r="J6" s="220"/>
      <c r="K6" s="221"/>
      <c r="L6" s="79"/>
      <c r="M6" s="79"/>
      <c r="N6" s="79"/>
      <c r="O6" s="248" t="s">
        <v>97</v>
      </c>
      <c r="P6" s="249"/>
      <c r="Q6" s="252" t="s">
        <v>89</v>
      </c>
      <c r="R6" s="253"/>
      <c r="S6" s="77"/>
      <c r="T6" s="256" t="s">
        <v>85</v>
      </c>
      <c r="U6" s="257"/>
      <c r="V6" s="260" t="s">
        <v>88</v>
      </c>
      <c r="W6" s="231" t="s">
        <v>116</v>
      </c>
      <c r="X6" s="133"/>
      <c r="Y6" s="135"/>
    </row>
    <row r="7" spans="1:25" s="133" customFormat="1" ht="54" customHeight="1" thickBot="1">
      <c r="A7" s="225" t="s">
        <v>81</v>
      </c>
      <c r="B7" s="226"/>
      <c r="C7" s="169"/>
      <c r="D7" s="64"/>
      <c r="E7" s="170" t="s">
        <v>117</v>
      </c>
      <c r="F7" s="182">
        <f>(C7*0.88)</f>
        <v>0</v>
      </c>
      <c r="H7" s="132"/>
      <c r="I7" s="222" t="s">
        <v>5</v>
      </c>
      <c r="J7" s="223"/>
      <c r="K7" s="224"/>
      <c r="L7" s="132"/>
      <c r="M7" s="132"/>
      <c r="N7" s="132"/>
      <c r="O7" s="250"/>
      <c r="P7" s="251"/>
      <c r="Q7" s="254"/>
      <c r="R7" s="255"/>
      <c r="S7" s="132"/>
      <c r="T7" s="258"/>
      <c r="U7" s="259"/>
      <c r="V7" s="261"/>
      <c r="W7" s="232"/>
    </row>
    <row r="8" spans="1:25" s="36" customFormat="1" ht="60" customHeight="1">
      <c r="A8" s="262" t="s">
        <v>3</v>
      </c>
      <c r="B8" s="263"/>
      <c r="C8" s="185">
        <f>F9*C9</f>
        <v>0</v>
      </c>
      <c r="D8" s="171"/>
      <c r="E8" s="170" t="s">
        <v>118</v>
      </c>
      <c r="F8" s="183">
        <f>(C7*0.54)</f>
        <v>0</v>
      </c>
      <c r="G8" s="151"/>
      <c r="H8" s="77"/>
      <c r="I8" s="129" t="s">
        <v>6</v>
      </c>
      <c r="J8" s="150" t="s">
        <v>67</v>
      </c>
      <c r="K8" s="93" t="s">
        <v>68</v>
      </c>
      <c r="L8" s="77"/>
      <c r="M8" s="77"/>
      <c r="N8" s="77"/>
      <c r="O8" s="240" t="s">
        <v>10</v>
      </c>
      <c r="P8" s="241"/>
      <c r="Q8" s="130" t="s">
        <v>67</v>
      </c>
      <c r="R8" s="87" t="s">
        <v>11</v>
      </c>
      <c r="S8" s="77"/>
      <c r="T8" s="227" t="s">
        <v>86</v>
      </c>
      <c r="U8" s="228"/>
      <c r="V8" s="178" t="s">
        <v>92</v>
      </c>
      <c r="W8" s="175">
        <f>(1423500*1.37)</f>
        <v>1950195.0000000002</v>
      </c>
      <c r="X8" s="133"/>
    </row>
    <row r="9" spans="1:25" s="36" customFormat="1" ht="49.5" customHeight="1" thickBot="1">
      <c r="A9" s="271" t="s">
        <v>78</v>
      </c>
      <c r="B9" s="272"/>
      <c r="C9" s="181"/>
      <c r="D9" s="172"/>
      <c r="E9" s="173" t="s">
        <v>119</v>
      </c>
      <c r="F9" s="184">
        <f>(C7*0.34)</f>
        <v>0</v>
      </c>
      <c r="G9" s="152"/>
      <c r="H9" s="77"/>
      <c r="I9" s="96"/>
      <c r="J9" s="97"/>
      <c r="K9" s="98">
        <f>(C8*J9)-((C8*I9)*J9)</f>
        <v>0</v>
      </c>
      <c r="L9" s="77"/>
      <c r="M9" s="77"/>
      <c r="N9" s="77"/>
      <c r="O9" s="238">
        <f>C7*16%</f>
        <v>0</v>
      </c>
      <c r="P9" s="239"/>
      <c r="Q9" s="65"/>
      <c r="R9" s="158">
        <f>O9*Q9</f>
        <v>0</v>
      </c>
      <c r="S9" s="77"/>
      <c r="T9" s="229" t="s">
        <v>87</v>
      </c>
      <c r="U9" s="230"/>
      <c r="V9" s="179" t="s">
        <v>91</v>
      </c>
      <c r="W9" s="177">
        <f>(1423500*1.51)</f>
        <v>2149485</v>
      </c>
      <c r="X9" s="133"/>
    </row>
    <row r="10" spans="1:25" s="36" customFormat="1" ht="51.6" customHeight="1" thickBot="1">
      <c r="A10" s="235"/>
      <c r="B10" s="235"/>
      <c r="C10" s="160"/>
      <c r="D10" s="161"/>
      <c r="E10" s="77"/>
      <c r="F10" s="77"/>
      <c r="G10" s="77"/>
      <c r="H10" s="77"/>
      <c r="I10" s="96"/>
      <c r="J10" s="97"/>
      <c r="K10" s="98">
        <f>(C8*J10)-((C8*I10)*J10)</f>
        <v>0</v>
      </c>
      <c r="L10" s="77"/>
      <c r="M10" s="77"/>
      <c r="N10" s="77"/>
      <c r="O10" s="266" t="s">
        <v>7</v>
      </c>
      <c r="P10" s="267"/>
      <c r="Q10" s="99">
        <f>SUM(Q9)</f>
        <v>0</v>
      </c>
      <c r="R10" s="159">
        <f>SUM(R9)</f>
        <v>0</v>
      </c>
      <c r="S10" s="77"/>
      <c r="T10" s="236" t="s">
        <v>65</v>
      </c>
      <c r="U10" s="237"/>
      <c r="V10" s="180" t="s">
        <v>90</v>
      </c>
      <c r="W10" s="176">
        <f>(1423500*1.87)</f>
        <v>2661945</v>
      </c>
      <c r="X10" s="133"/>
    </row>
    <row r="11" spans="1:25" s="36" customFormat="1" ht="57.75" customHeight="1" thickBot="1">
      <c r="A11" s="77"/>
      <c r="B11" s="77"/>
      <c r="C11" s="77"/>
      <c r="D11" s="77"/>
      <c r="E11" s="77"/>
      <c r="F11" s="77"/>
      <c r="G11" s="77"/>
      <c r="H11" s="77"/>
      <c r="I11" s="96"/>
      <c r="J11" s="97"/>
      <c r="K11" s="98">
        <f>(C8*J11)-((C8*I11)*J11)</f>
        <v>0</v>
      </c>
      <c r="L11" s="77"/>
      <c r="M11" s="77"/>
      <c r="N11" s="77"/>
      <c r="S11" s="77"/>
      <c r="U11" s="133"/>
      <c r="V11" s="133"/>
      <c r="W11" s="133"/>
      <c r="X11" s="133"/>
    </row>
    <row r="12" spans="1:25" s="36" customFormat="1" ht="57.75" customHeight="1" thickBot="1">
      <c r="A12" s="284" t="s">
        <v>15</v>
      </c>
      <c r="B12" s="285"/>
      <c r="C12" s="285"/>
      <c r="D12" s="285"/>
      <c r="E12" s="285"/>
      <c r="F12" s="286"/>
      <c r="G12" s="157"/>
      <c r="H12" s="77"/>
      <c r="I12" s="96"/>
      <c r="J12" s="97"/>
      <c r="K12" s="98">
        <f>(C8*J12)-((C8*I12)*J12)</f>
        <v>0</v>
      </c>
      <c r="L12" s="77"/>
      <c r="M12" s="77"/>
      <c r="N12" s="77"/>
      <c r="P12" s="100"/>
      <c r="Q12" s="100"/>
      <c r="R12" s="100"/>
      <c r="S12" s="77"/>
      <c r="U12" s="133"/>
      <c r="V12" s="133"/>
      <c r="W12" s="133"/>
      <c r="X12" s="133"/>
    </row>
    <row r="13" spans="1:25" s="36" customFormat="1" ht="63.6" customHeight="1" thickBot="1">
      <c r="A13" s="233" t="s">
        <v>93</v>
      </c>
      <c r="B13" s="234"/>
      <c r="C13" s="273"/>
      <c r="D13" s="273"/>
      <c r="E13" s="273"/>
      <c r="F13" s="274"/>
      <c r="G13" s="153"/>
      <c r="H13" s="77"/>
      <c r="I13" s="96"/>
      <c r="J13" s="97"/>
      <c r="K13" s="98">
        <f>(C8*J13)-((C8*I13)*J13)</f>
        <v>0</v>
      </c>
      <c r="L13" s="77"/>
      <c r="M13" s="278" t="s">
        <v>9</v>
      </c>
      <c r="N13" s="77"/>
      <c r="S13" s="77"/>
      <c r="W13" s="133"/>
      <c r="X13" s="133"/>
    </row>
    <row r="14" spans="1:25" s="36" customFormat="1" ht="66" customHeight="1" thickBot="1">
      <c r="A14" s="233" t="s">
        <v>16</v>
      </c>
      <c r="B14" s="234"/>
      <c r="C14" s="280"/>
      <c r="D14" s="280"/>
      <c r="E14" s="281"/>
      <c r="F14" s="119" t="s">
        <v>64</v>
      </c>
      <c r="G14" s="156"/>
      <c r="H14" s="77"/>
      <c r="I14" s="96"/>
      <c r="J14" s="97"/>
      <c r="K14" s="98">
        <f>(C8*J14)-((C8*I14)*J14)</f>
        <v>0</v>
      </c>
      <c r="L14" s="77"/>
      <c r="M14" s="279"/>
      <c r="N14" s="77"/>
      <c r="O14" s="256" t="s">
        <v>8</v>
      </c>
      <c r="P14" s="257"/>
      <c r="Q14" s="257"/>
      <c r="R14" s="231"/>
      <c r="S14" s="77"/>
    </row>
    <row r="15" spans="1:25" s="36" customFormat="1" ht="81.599999999999994" customHeight="1">
      <c r="A15" s="233" t="s">
        <v>17</v>
      </c>
      <c r="B15" s="234"/>
      <c r="C15" s="101"/>
      <c r="D15" s="102"/>
      <c r="E15" s="102"/>
      <c r="F15" s="103"/>
      <c r="G15" s="154"/>
      <c r="H15" s="77"/>
      <c r="I15" s="96"/>
      <c r="J15" s="97"/>
      <c r="K15" s="98">
        <f>(C8*J15)-((C8*I15)*J15)</f>
        <v>0</v>
      </c>
      <c r="L15" s="77"/>
      <c r="M15" s="80" t="s">
        <v>14</v>
      </c>
      <c r="N15" s="77"/>
      <c r="O15" s="78" t="s">
        <v>12</v>
      </c>
      <c r="P15" s="92" t="s">
        <v>74</v>
      </c>
      <c r="Q15" s="63" t="s">
        <v>75</v>
      </c>
      <c r="R15" s="92" t="s">
        <v>13</v>
      </c>
      <c r="S15" s="78"/>
    </row>
    <row r="16" spans="1:25" s="36" customFormat="1" ht="54" customHeight="1" thickBot="1">
      <c r="A16" s="233" t="s">
        <v>18</v>
      </c>
      <c r="B16" s="234"/>
      <c r="C16" s="281"/>
      <c r="D16" s="282"/>
      <c r="E16" s="282"/>
      <c r="F16" s="283"/>
      <c r="G16" s="153"/>
      <c r="H16" s="77"/>
      <c r="I16" s="96"/>
      <c r="J16" s="97"/>
      <c r="K16" s="98">
        <f>(C8*J16)-((C8*I16)*J16)</f>
        <v>0</v>
      </c>
      <c r="L16" s="77"/>
      <c r="M16" s="91" t="e">
        <f>#REF!+#REF!+#REF!</f>
        <v>#REF!</v>
      </c>
      <c r="N16" s="77"/>
      <c r="O16" s="128">
        <f>R10</f>
        <v>0</v>
      </c>
      <c r="P16" s="94">
        <f>C7*2%*J17</f>
        <v>0</v>
      </c>
      <c r="Q16" s="94">
        <f>(17000*J17)</f>
        <v>0</v>
      </c>
      <c r="R16" s="95">
        <f>K17</f>
        <v>0</v>
      </c>
      <c r="S16" s="77"/>
    </row>
    <row r="17" spans="1:102" s="36" customFormat="1" ht="42.6" customHeight="1" thickBot="1">
      <c r="A17" s="269" t="s">
        <v>19</v>
      </c>
      <c r="B17" s="270"/>
      <c r="C17" s="275"/>
      <c r="D17" s="276"/>
      <c r="E17" s="276"/>
      <c r="F17" s="277"/>
      <c r="G17" s="155"/>
      <c r="H17" s="77"/>
      <c r="I17" s="88" t="s">
        <v>7</v>
      </c>
      <c r="J17" s="89">
        <f>SUM(J9:J16)</f>
        <v>0</v>
      </c>
      <c r="K17" s="90">
        <f>SUM(K9:K16)</f>
        <v>0</v>
      </c>
      <c r="L17" s="77"/>
      <c r="M17" s="66"/>
      <c r="N17" s="66"/>
      <c r="O17" s="77"/>
      <c r="P17" s="77"/>
      <c r="Q17" s="77"/>
      <c r="R17" s="77"/>
      <c r="S17" s="77"/>
    </row>
    <row r="18" spans="1:102" s="36" customFormat="1" ht="42" customHeight="1">
      <c r="H18" s="44"/>
      <c r="I18" s="268"/>
      <c r="J18" s="268"/>
      <c r="K18" s="268"/>
      <c r="L18" s="268"/>
      <c r="M18" s="44"/>
      <c r="N18" s="44"/>
    </row>
    <row r="19" spans="1:102" s="36" customFormat="1" ht="42.6" customHeight="1" thickBot="1">
      <c r="F19" s="66"/>
      <c r="G19" s="66"/>
      <c r="H19" s="265"/>
      <c r="I19" s="265"/>
      <c r="J19" s="265"/>
      <c r="K19" s="265"/>
      <c r="L19" s="265"/>
      <c r="M19" s="265"/>
      <c r="N19" s="265"/>
      <c r="O19" s="265"/>
      <c r="P19" s="265"/>
      <c r="Q19" s="265"/>
      <c r="R19" s="265"/>
      <c r="S19" s="66"/>
      <c r="T19" s="66"/>
      <c r="U19" s="66"/>
      <c r="V19" s="66"/>
      <c r="W19" s="66"/>
      <c r="X19" s="66"/>
      <c r="Y19" s="137"/>
    </row>
    <row r="20" spans="1:102" s="111" customFormat="1" ht="162.6" customHeight="1" thickBot="1">
      <c r="A20" s="105" t="s">
        <v>20</v>
      </c>
      <c r="B20" s="106" t="s">
        <v>21</v>
      </c>
      <c r="C20" s="107" t="s">
        <v>22</v>
      </c>
      <c r="D20" s="107"/>
      <c r="E20" s="106" t="s">
        <v>94</v>
      </c>
      <c r="F20" s="106" t="s">
        <v>95</v>
      </c>
      <c r="G20" s="106" t="s">
        <v>84</v>
      </c>
      <c r="H20" s="106" t="s">
        <v>23</v>
      </c>
      <c r="I20" s="106" t="s">
        <v>24</v>
      </c>
      <c r="J20" s="108" t="s">
        <v>25</v>
      </c>
      <c r="K20" s="108" t="s">
        <v>26</v>
      </c>
      <c r="L20" s="106" t="s">
        <v>96</v>
      </c>
      <c r="M20" s="106"/>
      <c r="N20" s="106"/>
      <c r="O20" s="106" t="s">
        <v>113</v>
      </c>
      <c r="P20" s="174" t="s">
        <v>114</v>
      </c>
      <c r="Q20" s="109" t="s">
        <v>27</v>
      </c>
      <c r="R20" s="107" t="s">
        <v>52</v>
      </c>
      <c r="S20" s="106" t="s">
        <v>28</v>
      </c>
      <c r="T20" s="106" t="s">
        <v>29</v>
      </c>
      <c r="U20" s="106" t="s">
        <v>30</v>
      </c>
      <c r="V20" s="106" t="s">
        <v>31</v>
      </c>
      <c r="W20" s="107" t="s">
        <v>32</v>
      </c>
      <c r="X20" s="110" t="s">
        <v>33</v>
      </c>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c r="CA20" s="138"/>
      <c r="CB20" s="138"/>
      <c r="CC20" s="138"/>
      <c r="CD20" s="138"/>
      <c r="CE20" s="138"/>
      <c r="CF20" s="138"/>
      <c r="CG20" s="138"/>
      <c r="CH20" s="138"/>
      <c r="CI20" s="138"/>
      <c r="CJ20" s="138"/>
      <c r="CK20" s="138"/>
      <c r="CL20" s="138"/>
      <c r="CM20" s="138"/>
      <c r="CN20" s="138"/>
      <c r="CO20" s="138"/>
      <c r="CP20" s="138"/>
      <c r="CQ20" s="138"/>
      <c r="CR20" s="138"/>
      <c r="CS20" s="138"/>
      <c r="CT20" s="138"/>
      <c r="CU20" s="138"/>
      <c r="CV20" s="138"/>
      <c r="CW20" s="138"/>
      <c r="CX20" s="138"/>
    </row>
    <row r="21" spans="1:102" s="36" customFormat="1" ht="105" customHeight="1">
      <c r="A21" s="211" t="s">
        <v>34</v>
      </c>
      <c r="B21" s="212"/>
      <c r="C21" s="212"/>
      <c r="D21" s="212"/>
      <c r="E21" s="212"/>
      <c r="F21" s="212"/>
      <c r="G21" s="212"/>
      <c r="H21" s="212"/>
      <c r="I21" s="212"/>
      <c r="J21" s="212"/>
      <c r="K21" s="212"/>
      <c r="L21" s="212"/>
      <c r="M21" s="212"/>
      <c r="N21" s="212"/>
      <c r="O21" s="212"/>
      <c r="P21" s="212"/>
      <c r="Q21" s="212"/>
      <c r="R21" s="212"/>
      <c r="S21" s="212"/>
      <c r="T21" s="212"/>
      <c r="U21" s="212"/>
      <c r="V21" s="212"/>
      <c r="W21" s="212"/>
      <c r="X21" s="213"/>
      <c r="Y21" s="145"/>
    </row>
    <row r="22" spans="1:102" s="36" customFormat="1" ht="99" customHeight="1">
      <c r="A22" s="120"/>
      <c r="B22" s="196"/>
      <c r="C22" s="197"/>
      <c r="D22" s="198"/>
      <c r="E22" s="191"/>
      <c r="F22" s="192"/>
      <c r="G22" s="193"/>
      <c r="H22" s="194"/>
      <c r="I22" s="195"/>
      <c r="J22" s="192"/>
      <c r="K22" s="192"/>
      <c r="L22" s="60"/>
      <c r="M22" s="59"/>
      <c r="N22" s="59"/>
      <c r="O22" s="190"/>
      <c r="P22" s="61"/>
      <c r="Q22" s="186"/>
      <c r="R22" s="186"/>
      <c r="S22" s="204"/>
      <c r="T22" s="62"/>
      <c r="U22" s="205"/>
      <c r="V22" s="62"/>
      <c r="W22" s="61"/>
      <c r="X22" s="92"/>
      <c r="Y22" s="139"/>
    </row>
    <row r="23" spans="1:102" s="104" customFormat="1" ht="43.9" customHeight="1" thickBot="1">
      <c r="A23" s="121" t="s">
        <v>7</v>
      </c>
      <c r="B23" s="146"/>
      <c r="C23" s="115"/>
      <c r="D23" s="115"/>
      <c r="E23" s="115"/>
      <c r="F23" s="115"/>
      <c r="G23" s="115"/>
      <c r="H23" s="115"/>
      <c r="I23" s="116"/>
      <c r="J23" s="116"/>
      <c r="K23" s="116"/>
      <c r="L23" s="116"/>
      <c r="M23" s="116"/>
      <c r="N23" s="116"/>
      <c r="O23" s="113"/>
      <c r="P23" s="189"/>
      <c r="Q23" s="210"/>
      <c r="R23" s="210"/>
      <c r="S23" s="118"/>
      <c r="T23" s="210"/>
      <c r="U23" s="116"/>
      <c r="V23" s="210"/>
      <c r="W23" s="116"/>
      <c r="X23" s="117"/>
      <c r="Y23" s="77"/>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row>
    <row r="24" spans="1:102" s="52" customFormat="1" ht="74.25" customHeight="1" thickBot="1">
      <c r="A24" s="68"/>
      <c r="B24" s="69"/>
      <c r="C24" s="69"/>
      <c r="D24" s="69"/>
      <c r="E24" s="69"/>
      <c r="F24" s="69"/>
      <c r="G24" s="69"/>
      <c r="H24" s="69"/>
      <c r="I24" s="70"/>
      <c r="J24" s="70"/>
      <c r="K24" s="70"/>
      <c r="L24" s="70"/>
      <c r="M24" s="70"/>
      <c r="N24" s="70"/>
      <c r="O24" s="71"/>
      <c r="P24" s="67"/>
      <c r="Q24" s="72"/>
      <c r="R24" s="73"/>
      <c r="S24" s="74"/>
      <c r="T24" s="73"/>
      <c r="U24" s="70"/>
      <c r="V24" s="75"/>
      <c r="W24" s="70"/>
      <c r="X24" s="76"/>
      <c r="Y24" s="134"/>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8"/>
      <c r="AZ24" s="138"/>
      <c r="BA24" s="138"/>
      <c r="BB24" s="138"/>
      <c r="BC24" s="138"/>
      <c r="BD24" s="138"/>
      <c r="BE24" s="138"/>
      <c r="BF24" s="138"/>
      <c r="BG24" s="138"/>
      <c r="BH24" s="138"/>
      <c r="BI24" s="138"/>
      <c r="BJ24" s="138"/>
      <c r="BK24" s="138"/>
      <c r="BL24" s="138"/>
      <c r="BM24" s="138"/>
      <c r="BN24" s="138"/>
      <c r="BO24" s="138"/>
      <c r="BP24" s="138"/>
      <c r="BQ24" s="138"/>
      <c r="BR24" s="138"/>
      <c r="BS24" s="138"/>
      <c r="BT24" s="138"/>
      <c r="BU24" s="138"/>
      <c r="BV24" s="138"/>
      <c r="BW24" s="138"/>
      <c r="BX24" s="138"/>
      <c r="BY24" s="138"/>
      <c r="BZ24" s="138"/>
      <c r="CA24" s="138"/>
      <c r="CB24" s="138"/>
      <c r="CC24" s="138"/>
      <c r="CD24" s="138"/>
      <c r="CE24" s="138"/>
      <c r="CF24" s="138"/>
      <c r="CG24" s="138"/>
      <c r="CH24" s="138"/>
      <c r="CI24" s="138"/>
      <c r="CJ24" s="138"/>
      <c r="CK24" s="138"/>
      <c r="CL24" s="138"/>
      <c r="CM24" s="138"/>
      <c r="CN24" s="138"/>
      <c r="CO24" s="138"/>
      <c r="CP24" s="138"/>
      <c r="CQ24" s="138"/>
      <c r="CR24" s="138"/>
      <c r="CS24" s="138"/>
      <c r="CT24" s="138"/>
      <c r="CU24" s="138"/>
      <c r="CV24" s="138"/>
      <c r="CW24" s="138"/>
      <c r="CX24" s="138"/>
    </row>
    <row r="25" spans="1:102" s="36" customFormat="1" ht="74.25" customHeight="1" thickBot="1">
      <c r="A25" s="214" t="s">
        <v>35</v>
      </c>
      <c r="B25" s="215"/>
      <c r="C25" s="215"/>
      <c r="D25" s="215"/>
      <c r="E25" s="215"/>
      <c r="F25" s="215"/>
      <c r="G25" s="215"/>
      <c r="H25" s="215"/>
      <c r="I25" s="215"/>
      <c r="J25" s="215"/>
      <c r="K25" s="215"/>
      <c r="L25" s="215"/>
      <c r="M25" s="215"/>
      <c r="N25" s="215"/>
      <c r="O25" s="215"/>
      <c r="P25" s="215"/>
      <c r="Q25" s="215"/>
      <c r="R25" s="215"/>
      <c r="S25" s="215"/>
      <c r="T25" s="215"/>
      <c r="U25" s="215"/>
      <c r="V25" s="215"/>
      <c r="W25" s="215"/>
      <c r="X25" s="216"/>
      <c r="Y25" s="149"/>
      <c r="AA25" s="140"/>
    </row>
    <row r="26" spans="1:102" s="112" customFormat="1" ht="57.75" customHeight="1">
      <c r="A26" s="78"/>
      <c r="B26" s="199"/>
      <c r="C26" s="200"/>
      <c r="D26" s="201"/>
      <c r="E26" s="202"/>
      <c r="F26" s="203"/>
      <c r="G26" s="193"/>
      <c r="H26" s="203"/>
      <c r="I26" s="195"/>
      <c r="J26" s="203"/>
      <c r="K26" s="200"/>
      <c r="L26" s="60"/>
      <c r="M26" s="187"/>
      <c r="N26" s="187"/>
      <c r="O26" s="190"/>
      <c r="P26" s="61"/>
      <c r="Q26" s="186"/>
      <c r="R26" s="186"/>
      <c r="S26" s="204"/>
      <c r="T26" s="62"/>
      <c r="U26" s="205"/>
      <c r="V26" s="62"/>
      <c r="W26" s="61"/>
      <c r="X26" s="92"/>
      <c r="Y26" s="141"/>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2"/>
      <c r="BI26" s="142"/>
      <c r="BJ26" s="142"/>
      <c r="BK26" s="142"/>
      <c r="BL26" s="142"/>
      <c r="BM26" s="142"/>
      <c r="BN26" s="142"/>
      <c r="BO26" s="142"/>
      <c r="BP26" s="142"/>
      <c r="BQ26" s="142"/>
      <c r="BR26" s="142"/>
      <c r="BS26" s="142"/>
      <c r="BT26" s="142"/>
      <c r="BU26" s="142"/>
      <c r="BV26" s="142"/>
      <c r="BW26" s="142"/>
      <c r="BX26" s="142"/>
      <c r="BY26" s="142"/>
      <c r="BZ26" s="142"/>
      <c r="CA26" s="142"/>
      <c r="CB26" s="142"/>
      <c r="CC26" s="142"/>
      <c r="CD26" s="142"/>
      <c r="CE26" s="142"/>
      <c r="CF26" s="142"/>
      <c r="CG26" s="142"/>
      <c r="CH26" s="142"/>
      <c r="CI26" s="142"/>
      <c r="CJ26" s="142"/>
      <c r="CK26" s="142"/>
      <c r="CL26" s="142"/>
      <c r="CM26" s="142"/>
      <c r="CN26" s="142"/>
      <c r="CO26" s="142"/>
      <c r="CP26" s="142"/>
      <c r="CQ26" s="142"/>
      <c r="CR26" s="142"/>
      <c r="CS26" s="142"/>
      <c r="CT26" s="142"/>
      <c r="CU26" s="142"/>
      <c r="CV26" s="142"/>
      <c r="CW26" s="142"/>
      <c r="CX26" s="142"/>
    </row>
    <row r="27" spans="1:102" s="104" customFormat="1" ht="36.6" customHeight="1" thickBot="1">
      <c r="A27" s="114" t="s">
        <v>7</v>
      </c>
      <c r="B27" s="115"/>
      <c r="C27" s="115"/>
      <c r="D27" s="115"/>
      <c r="E27" s="115"/>
      <c r="F27" s="115"/>
      <c r="G27" s="115"/>
      <c r="H27" s="115"/>
      <c r="I27" s="115"/>
      <c r="J27" s="116"/>
      <c r="K27" s="116"/>
      <c r="L27" s="116"/>
      <c r="M27" s="116"/>
      <c r="N27" s="116"/>
      <c r="O27" s="113"/>
      <c r="P27" s="189"/>
      <c r="Q27" s="210"/>
      <c r="R27" s="210"/>
      <c r="S27" s="113"/>
      <c r="T27" s="210"/>
      <c r="U27" s="113"/>
      <c r="V27" s="210"/>
      <c r="W27" s="189"/>
      <c r="X27" s="148"/>
      <c r="Y27" s="143"/>
      <c r="Z27" s="36"/>
      <c r="AA27" s="144" t="e">
        <f>SUM(#REF!)</f>
        <v>#REF!</v>
      </c>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row>
    <row r="28" spans="1:102" s="36" customFormat="1" ht="54.6" customHeight="1">
      <c r="A28" s="147"/>
      <c r="B28" s="264" t="s">
        <v>36</v>
      </c>
      <c r="C28" s="264"/>
      <c r="D28" s="264"/>
      <c r="E28" s="264"/>
      <c r="F28" s="264"/>
      <c r="G28" s="264"/>
      <c r="H28" s="264"/>
      <c r="I28" s="264"/>
      <c r="J28" s="264"/>
      <c r="K28" s="264"/>
      <c r="L28" s="264"/>
      <c r="M28" s="264"/>
      <c r="N28" s="264"/>
      <c r="O28" s="264"/>
      <c r="P28" s="264"/>
      <c r="Q28" s="264"/>
      <c r="R28" s="264"/>
      <c r="S28" s="264"/>
      <c r="T28" s="264"/>
      <c r="U28" s="264"/>
      <c r="V28" s="264"/>
      <c r="W28" s="264"/>
      <c r="X28" s="264"/>
      <c r="Y28" s="264"/>
      <c r="AA28" s="140"/>
    </row>
    <row r="29" spans="1:102" s="36" customFormat="1" ht="20.25">
      <c r="A29" s="43"/>
      <c r="B29" s="46"/>
      <c r="C29" s="47"/>
      <c r="D29" s="47"/>
      <c r="E29" s="46"/>
      <c r="F29" s="46"/>
      <c r="G29" s="46"/>
      <c r="H29" s="46"/>
      <c r="I29" s="46"/>
      <c r="J29" s="41"/>
      <c r="K29" s="41"/>
      <c r="L29" s="41"/>
      <c r="M29" s="41"/>
      <c r="N29" s="41"/>
      <c r="O29" s="41"/>
      <c r="P29" s="48"/>
      <c r="Q29" s="49"/>
      <c r="R29" s="46"/>
      <c r="S29" s="50"/>
      <c r="T29" s="46"/>
      <c r="U29" s="47"/>
      <c r="V29" s="51"/>
      <c r="W29" s="46"/>
      <c r="X29" s="46"/>
      <c r="Y29" s="135"/>
    </row>
  </sheetData>
  <protectedRanges>
    <protectedRange sqref="B22" name="Rango1_8_1_2_3_1_1_2_1"/>
    <protectedRange sqref="B26" name="Rango1_8_1_2_3_1_3_1_2"/>
  </protectedRanges>
  <mergeCells count="40">
    <mergeCell ref="A8:B8"/>
    <mergeCell ref="B28:Y28"/>
    <mergeCell ref="H19:R19"/>
    <mergeCell ref="O10:P10"/>
    <mergeCell ref="O14:R14"/>
    <mergeCell ref="I18:L18"/>
    <mergeCell ref="A17:B17"/>
    <mergeCell ref="A9:B9"/>
    <mergeCell ref="C13:F13"/>
    <mergeCell ref="C17:F17"/>
    <mergeCell ref="M13:M14"/>
    <mergeCell ref="C14:E14"/>
    <mergeCell ref="C16:F16"/>
    <mergeCell ref="A12:F12"/>
    <mergeCell ref="A13:B13"/>
    <mergeCell ref="A14:B14"/>
    <mergeCell ref="C1:T2"/>
    <mergeCell ref="X1:Y1"/>
    <mergeCell ref="X2:Y2"/>
    <mergeCell ref="O6:P7"/>
    <mergeCell ref="Q6:R7"/>
    <mergeCell ref="T6:U7"/>
    <mergeCell ref="A6:C6"/>
    <mergeCell ref="V6:V7"/>
    <mergeCell ref="A21:X21"/>
    <mergeCell ref="A25:X25"/>
    <mergeCell ref="I4:J4"/>
    <mergeCell ref="K4:L4"/>
    <mergeCell ref="I6:K6"/>
    <mergeCell ref="I7:K7"/>
    <mergeCell ref="A7:B7"/>
    <mergeCell ref="T8:U8"/>
    <mergeCell ref="T9:U9"/>
    <mergeCell ref="W6:W7"/>
    <mergeCell ref="A15:B15"/>
    <mergeCell ref="A16:B16"/>
    <mergeCell ref="A10:B10"/>
    <mergeCell ref="T10:U10"/>
    <mergeCell ref="O9:P9"/>
    <mergeCell ref="O8:P8"/>
  </mergeCells>
  <printOptions horizontalCentered="1"/>
  <pageMargins left="0.74803149606299213" right="3.937007874015748E-2" top="0.74803149606299213" bottom="0.74803149606299213" header="0.31496062992125984" footer="0.31496062992125984"/>
  <pageSetup paperSize="5" scale="22"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DEF03-FFBA-45F9-8BC9-D89FA1457C3D}">
  <sheetPr codeName="Hoja2"/>
  <dimension ref="B2:J56"/>
  <sheetViews>
    <sheetView topLeftCell="A14" zoomScale="85" zoomScaleNormal="85" zoomScaleSheetLayoutView="90" workbookViewId="0">
      <selection activeCell="B8" sqref="B8:J8"/>
    </sheetView>
  </sheetViews>
  <sheetFormatPr baseColWidth="10" defaultColWidth="9" defaultRowHeight="12.75"/>
  <cols>
    <col min="1" max="1" width="15.7109375" customWidth="1"/>
    <col min="2" max="2" width="16.7109375" customWidth="1"/>
    <col min="3" max="3" width="17.7109375" customWidth="1"/>
    <col min="4" max="4" width="15" customWidth="1"/>
    <col min="5" max="5" width="20.42578125" customWidth="1"/>
    <col min="6" max="6" width="25" customWidth="1"/>
    <col min="7" max="7" width="17.28515625" customWidth="1"/>
    <col min="8" max="8" width="4.7109375" customWidth="1"/>
    <col min="9" max="9" width="19.5703125" customWidth="1"/>
    <col min="10" max="10" width="16.42578125" customWidth="1"/>
  </cols>
  <sheetData>
    <row r="2" spans="2:10" ht="36" customHeight="1">
      <c r="B2" s="320"/>
      <c r="C2" s="322" t="s">
        <v>66</v>
      </c>
      <c r="D2" s="323"/>
      <c r="E2" s="323"/>
      <c r="F2" s="323"/>
      <c r="G2" s="323"/>
      <c r="H2" s="324"/>
      <c r="I2" s="19" t="s">
        <v>0</v>
      </c>
      <c r="J2" s="20" t="s">
        <v>1</v>
      </c>
    </row>
    <row r="3" spans="2:10" ht="36" customHeight="1">
      <c r="B3" s="321"/>
      <c r="C3" s="325"/>
      <c r="D3" s="326"/>
      <c r="E3" s="326"/>
      <c r="F3" s="326"/>
      <c r="G3" s="326"/>
      <c r="H3" s="327"/>
      <c r="I3" s="19" t="s">
        <v>2</v>
      </c>
      <c r="J3" s="20" t="s">
        <v>37</v>
      </c>
    </row>
    <row r="5" spans="2:10" ht="17.25" customHeight="1"/>
    <row r="6" spans="2:10" ht="24" customHeight="1">
      <c r="B6" s="300" t="s">
        <v>38</v>
      </c>
      <c r="C6" s="300"/>
      <c r="D6" s="300"/>
      <c r="E6" s="300"/>
      <c r="F6" s="301">
        <f>PROTOCOLO!C14</f>
        <v>0</v>
      </c>
      <c r="G6" s="301"/>
      <c r="H6" s="301"/>
      <c r="I6" s="301"/>
      <c r="J6" s="301"/>
    </row>
    <row r="7" spans="2:10" ht="24" customHeight="1">
      <c r="B7" s="2" t="s">
        <v>39</v>
      </c>
      <c r="C7" s="3">
        <f>C13</f>
        <v>0</v>
      </c>
      <c r="D7" s="2" t="s">
        <v>40</v>
      </c>
      <c r="E7" s="3">
        <f>PROTOCOLO!E15</f>
        <v>0</v>
      </c>
      <c r="F7" s="4" t="s">
        <v>41</v>
      </c>
      <c r="G7" s="302">
        <f>PROTOCOLO!C16</f>
        <v>0</v>
      </c>
      <c r="H7" s="302"/>
      <c r="I7" s="302"/>
      <c r="J7" s="302"/>
    </row>
    <row r="8" spans="2:10" ht="24" customHeight="1">
      <c r="B8" s="300" t="s">
        <v>42</v>
      </c>
      <c r="C8" s="300"/>
      <c r="D8" s="300"/>
      <c r="E8" s="300"/>
      <c r="F8" s="300"/>
      <c r="G8" s="300"/>
      <c r="H8" s="300"/>
      <c r="I8" s="300"/>
      <c r="J8" s="300"/>
    </row>
    <row r="9" spans="2:10" ht="12.75" customHeight="1">
      <c r="B9" s="5"/>
      <c r="C9" s="5"/>
      <c r="D9" s="5"/>
      <c r="E9" s="5"/>
      <c r="F9" s="5"/>
      <c r="G9" s="5"/>
      <c r="H9" s="5"/>
      <c r="I9" s="5"/>
      <c r="J9" s="5"/>
    </row>
    <row r="11" spans="2:10" ht="30.75" customHeight="1">
      <c r="C11" s="303">
        <f>PROTOCOLO!C13</f>
        <v>0</v>
      </c>
      <c r="D11" s="304"/>
      <c r="E11" s="304"/>
      <c r="F11" s="304"/>
      <c r="G11" s="304"/>
      <c r="H11" s="304"/>
      <c r="I11" s="305"/>
    </row>
    <row r="12" spans="2:10" ht="30.75" customHeight="1">
      <c r="C12" s="303">
        <f>PROTOCOLO!C14</f>
        <v>0</v>
      </c>
      <c r="D12" s="304"/>
      <c r="E12" s="304"/>
      <c r="F12" s="304"/>
      <c r="G12" s="304"/>
      <c r="H12" s="304"/>
      <c r="I12" s="334"/>
    </row>
    <row r="13" spans="2:10" ht="30.75" customHeight="1">
      <c r="C13" s="335">
        <f>PROTOCOLO!C15</f>
        <v>0</v>
      </c>
      <c r="D13" s="336"/>
      <c r="E13" s="336"/>
      <c r="F13" s="336"/>
      <c r="G13" s="336"/>
      <c r="H13" s="336"/>
      <c r="I13" s="305"/>
    </row>
    <row r="14" spans="2:10" ht="30.75" customHeight="1">
      <c r="C14" s="335">
        <f>PROTOCOLO!E15</f>
        <v>0</v>
      </c>
      <c r="D14" s="336"/>
      <c r="E14" s="336"/>
      <c r="F14" s="336"/>
      <c r="G14" s="336"/>
      <c r="H14" s="336"/>
      <c r="I14" s="305"/>
    </row>
    <row r="15" spans="2:10">
      <c r="C15" s="337"/>
      <c r="D15" s="337"/>
      <c r="E15" s="337"/>
      <c r="F15" s="337"/>
      <c r="G15" s="337"/>
      <c r="H15" s="337"/>
      <c r="I15" s="337"/>
    </row>
    <row r="16" spans="2:10" ht="30" customHeight="1">
      <c r="C16" s="287" t="s">
        <v>43</v>
      </c>
      <c r="D16" s="288"/>
      <c r="E16" s="288"/>
      <c r="F16" s="288"/>
      <c r="G16" s="288"/>
      <c r="H16" s="288"/>
      <c r="I16" s="289"/>
    </row>
    <row r="17" spans="3:10" ht="15.75">
      <c r="C17" s="290"/>
      <c r="D17" s="291"/>
      <c r="E17" s="291"/>
      <c r="F17" s="291"/>
      <c r="G17" s="292"/>
      <c r="H17" s="292"/>
      <c r="I17" s="293"/>
    </row>
    <row r="18" spans="3:10" ht="40.5" customHeight="1">
      <c r="C18" s="297" t="s">
        <v>44</v>
      </c>
      <c r="D18" s="298"/>
      <c r="E18" s="298"/>
      <c r="F18" s="298"/>
      <c r="G18" s="298"/>
      <c r="H18" s="299"/>
      <c r="I18" s="21">
        <f>PROTOCOLO!C7</f>
        <v>0</v>
      </c>
    </row>
    <row r="19" spans="3:10" ht="40.5" customHeight="1">
      <c r="C19" s="297" t="s">
        <v>45</v>
      </c>
      <c r="D19" s="298"/>
      <c r="E19" s="298"/>
      <c r="F19" s="298"/>
      <c r="G19" s="298"/>
      <c r="H19" s="299"/>
      <c r="I19" s="21">
        <f>PROTOCOLO!R10</f>
        <v>0</v>
      </c>
    </row>
    <row r="20" spans="3:10" ht="40.5" customHeight="1">
      <c r="C20" s="297" t="s">
        <v>46</v>
      </c>
      <c r="D20" s="298"/>
      <c r="E20" s="298"/>
      <c r="F20" s="298"/>
      <c r="G20" s="298"/>
      <c r="H20" s="299"/>
      <c r="I20" s="21">
        <f>PROTOCOLO!K17</f>
        <v>0</v>
      </c>
    </row>
    <row r="21" spans="3:10" ht="40.5" customHeight="1">
      <c r="C21" s="297" t="s">
        <v>47</v>
      </c>
      <c r="D21" s="298"/>
      <c r="E21" s="298"/>
      <c r="F21" s="298"/>
      <c r="G21" s="298"/>
      <c r="H21" s="299"/>
      <c r="I21" s="21">
        <f>PROTOCOLO!P16</f>
        <v>0</v>
      </c>
    </row>
    <row r="22" spans="3:10" ht="40.5" customHeight="1">
      <c r="C22" s="297" t="s">
        <v>76</v>
      </c>
      <c r="D22" s="298"/>
      <c r="E22" s="298"/>
      <c r="F22" s="298"/>
      <c r="G22" s="298"/>
      <c r="H22" s="299"/>
      <c r="I22" s="21">
        <f>PROTOCOLO!Q16</f>
        <v>0</v>
      </c>
    </row>
    <row r="23" spans="3:10" ht="40.5" customHeight="1" thickBot="1">
      <c r="C23" s="297" t="s">
        <v>79</v>
      </c>
      <c r="D23" s="298"/>
      <c r="E23" s="298"/>
      <c r="F23" s="298"/>
      <c r="G23" s="298"/>
      <c r="H23" s="299"/>
      <c r="I23" s="21">
        <f>I20</f>
        <v>0</v>
      </c>
    </row>
    <row r="24" spans="3:10" ht="39.75" customHeight="1" thickBot="1">
      <c r="C24" s="311" t="s">
        <v>115</v>
      </c>
      <c r="D24" s="312"/>
      <c r="E24" s="312"/>
      <c r="F24" s="312"/>
      <c r="G24" s="312"/>
      <c r="H24" s="313"/>
      <c r="I24" s="22">
        <f>I19+I20+I21+I22</f>
        <v>0</v>
      </c>
    </row>
    <row r="25" spans="3:10">
      <c r="C25" s="6"/>
      <c r="D25" s="6"/>
      <c r="E25" s="6"/>
      <c r="F25" s="6"/>
      <c r="G25" s="6"/>
      <c r="H25" s="6"/>
      <c r="I25" s="23"/>
    </row>
    <row r="26" spans="3:10" ht="30" customHeight="1">
      <c r="C26" s="287" t="s">
        <v>48</v>
      </c>
      <c r="D26" s="288"/>
      <c r="E26" s="288"/>
      <c r="F26" s="288"/>
      <c r="G26" s="288"/>
      <c r="H26" s="288"/>
      <c r="I26" s="289"/>
    </row>
    <row r="27" spans="3:10" ht="28.5" customHeight="1">
      <c r="C27" s="314" t="s">
        <v>49</v>
      </c>
      <c r="D27" s="315"/>
      <c r="E27" s="315"/>
      <c r="F27" s="315"/>
      <c r="G27" s="315"/>
      <c r="H27" s="315"/>
      <c r="I27" s="24">
        <f>PROTOCOLO!Q27</f>
        <v>0</v>
      </c>
    </row>
    <row r="28" spans="3:10" ht="28.5" customHeight="1">
      <c r="C28" s="316" t="s">
        <v>50</v>
      </c>
      <c r="D28" s="317"/>
      <c r="E28" s="317"/>
      <c r="F28" s="317"/>
      <c r="G28" s="317"/>
      <c r="H28" s="318"/>
      <c r="I28" s="25">
        <f>PROTOCOLO!Q23</f>
        <v>0</v>
      </c>
      <c r="J28" s="131"/>
    </row>
    <row r="29" spans="3:10" ht="28.5" customHeight="1">
      <c r="C29" s="309" t="s">
        <v>51</v>
      </c>
      <c r="D29" s="310"/>
      <c r="E29" s="310"/>
      <c r="F29" s="310"/>
      <c r="G29" s="310"/>
      <c r="H29" s="310"/>
      <c r="I29" s="25">
        <f>PROTOCOLO!V27</f>
        <v>0</v>
      </c>
      <c r="J29" s="26"/>
    </row>
    <row r="30" spans="3:10" ht="28.5" customHeight="1">
      <c r="C30" s="309" t="s">
        <v>52</v>
      </c>
      <c r="D30" s="310"/>
      <c r="E30" s="310"/>
      <c r="F30" s="310"/>
      <c r="G30" s="310"/>
      <c r="H30" s="310"/>
      <c r="I30" s="25">
        <f>PROTOCOLO!R27</f>
        <v>0</v>
      </c>
    </row>
    <row r="31" spans="3:10" ht="28.5" customHeight="1">
      <c r="C31" s="309" t="s">
        <v>53</v>
      </c>
      <c r="D31" s="310"/>
      <c r="E31" s="310"/>
      <c r="F31" s="310"/>
      <c r="G31" s="310"/>
      <c r="H31" s="310"/>
      <c r="I31" s="21">
        <f>PROTOCOLO!T27</f>
        <v>0</v>
      </c>
      <c r="J31" s="26"/>
    </row>
    <row r="32" spans="3:10" ht="28.5" customHeight="1">
      <c r="C32" s="294" t="s">
        <v>83</v>
      </c>
      <c r="D32" s="295"/>
      <c r="E32" s="295"/>
      <c r="F32" s="295"/>
      <c r="G32" s="295"/>
      <c r="H32" s="296"/>
      <c r="I32" s="21">
        <f>PROTOCOLO!K17*35%</f>
        <v>0</v>
      </c>
      <c r="J32" s="26"/>
    </row>
    <row r="33" spans="2:10" ht="28.5" customHeight="1" thickBot="1">
      <c r="C33" s="309" t="s">
        <v>47</v>
      </c>
      <c r="D33" s="310"/>
      <c r="E33" s="310"/>
      <c r="F33" s="310"/>
      <c r="G33" s="310"/>
      <c r="H33" s="310"/>
      <c r="I33" s="21">
        <f>I21</f>
        <v>0</v>
      </c>
      <c r="J33" s="26"/>
    </row>
    <row r="34" spans="2:10" ht="9.75" customHeight="1" thickBot="1">
      <c r="C34" s="53"/>
      <c r="D34" s="54"/>
      <c r="E34" s="54"/>
      <c r="F34" s="54"/>
      <c r="G34" s="54"/>
      <c r="H34" s="54"/>
      <c r="I34" s="55"/>
    </row>
    <row r="35" spans="2:10" ht="32.25" customHeight="1" thickBot="1">
      <c r="C35" s="328" t="s">
        <v>54</v>
      </c>
      <c r="D35" s="329"/>
      <c r="E35" s="329"/>
      <c r="F35" s="329"/>
      <c r="G35" s="329"/>
      <c r="H35" s="330"/>
      <c r="I35" s="22">
        <f>SUM(I27:I34)</f>
        <v>0</v>
      </c>
    </row>
    <row r="36" spans="2:10" ht="10.5" customHeight="1">
      <c r="C36" s="7"/>
      <c r="D36" s="7"/>
      <c r="E36" s="7"/>
      <c r="F36" s="7"/>
      <c r="G36" s="7"/>
      <c r="H36" s="7"/>
      <c r="I36" s="27"/>
    </row>
    <row r="37" spans="2:10" ht="25.5" customHeight="1">
      <c r="C37" s="331" t="s">
        <v>55</v>
      </c>
      <c r="D37" s="332"/>
      <c r="E37" s="332"/>
      <c r="F37" s="332"/>
      <c r="G37" s="332"/>
      <c r="H37" s="333"/>
      <c r="I37" s="28">
        <f>I24-I35</f>
        <v>0</v>
      </c>
    </row>
    <row r="38" spans="2:10" ht="25.5" customHeight="1">
      <c r="C38" s="331" t="s">
        <v>56</v>
      </c>
      <c r="D38" s="332"/>
      <c r="E38" s="332"/>
      <c r="F38" s="332"/>
      <c r="G38" s="332"/>
      <c r="H38" s="333"/>
      <c r="I38" s="29" t="e">
        <f>(I37/I24)</f>
        <v>#DIV/0!</v>
      </c>
    </row>
    <row r="39" spans="2:10">
      <c r="C39" s="8"/>
      <c r="D39" s="8"/>
      <c r="E39" s="8"/>
      <c r="F39" s="8"/>
      <c r="G39" s="8"/>
      <c r="H39" s="8"/>
      <c r="I39" s="30"/>
    </row>
    <row r="40" spans="2:10">
      <c r="B40" s="1"/>
      <c r="C40" s="9"/>
      <c r="D40" s="10"/>
      <c r="E40" s="10"/>
      <c r="F40" s="10"/>
      <c r="G40" s="10"/>
      <c r="H40" s="10"/>
      <c r="I40" s="31"/>
      <c r="J40" s="1"/>
    </row>
    <row r="41" spans="2:10" ht="18">
      <c r="C41" s="11" t="s">
        <v>57</v>
      </c>
      <c r="D41" s="12"/>
      <c r="E41" s="13"/>
      <c r="F41" s="14" t="s">
        <v>58</v>
      </c>
      <c r="G41" s="15"/>
      <c r="H41" s="14" t="s">
        <v>59</v>
      </c>
      <c r="I41" s="32"/>
      <c r="J41" s="1"/>
    </row>
    <row r="42" spans="2:10">
      <c r="B42" s="16"/>
      <c r="C42" s="17"/>
      <c r="D42" s="13"/>
      <c r="E42" s="13"/>
      <c r="F42" s="13"/>
      <c r="G42" s="13"/>
      <c r="H42" s="13"/>
      <c r="I42" s="33"/>
      <c r="J42" s="1"/>
    </row>
    <row r="43" spans="2:10">
      <c r="B43" s="16"/>
      <c r="C43" s="1"/>
      <c r="D43" s="1"/>
      <c r="E43" s="1"/>
      <c r="F43" s="1"/>
      <c r="G43" s="1"/>
      <c r="H43" s="1"/>
      <c r="I43" s="1"/>
      <c r="J43" s="1"/>
    </row>
    <row r="44" spans="2:10">
      <c r="B44" s="16"/>
      <c r="C44" s="1"/>
      <c r="D44" s="1"/>
      <c r="E44" s="1"/>
      <c r="F44" s="1"/>
      <c r="G44" s="1"/>
      <c r="H44" s="1"/>
      <c r="I44" s="1"/>
      <c r="J44" s="1"/>
    </row>
    <row r="45" spans="2:10">
      <c r="B45" s="16"/>
      <c r="C45" s="1"/>
      <c r="D45" s="1"/>
      <c r="E45" s="1"/>
      <c r="F45" s="1"/>
      <c r="G45" s="1"/>
      <c r="H45" s="1"/>
      <c r="I45" s="1"/>
      <c r="J45" s="1"/>
    </row>
    <row r="46" spans="2:10">
      <c r="B46" s="16"/>
      <c r="C46" s="1"/>
      <c r="D46" s="1"/>
      <c r="E46" s="1"/>
      <c r="F46" s="1"/>
      <c r="G46" s="1"/>
      <c r="H46" s="1"/>
      <c r="I46" s="1"/>
      <c r="J46" s="1"/>
    </row>
    <row r="47" spans="2:10">
      <c r="B47" s="16"/>
      <c r="C47" s="1"/>
      <c r="D47" s="1"/>
      <c r="E47" s="1"/>
      <c r="F47" s="1"/>
      <c r="G47" s="1"/>
      <c r="H47" s="1"/>
      <c r="I47" s="1"/>
      <c r="J47" s="1"/>
    </row>
    <row r="48" spans="2:10">
      <c r="B48" s="16"/>
      <c r="C48" s="1"/>
      <c r="D48" s="1"/>
      <c r="E48" s="1"/>
      <c r="F48" s="1"/>
      <c r="G48" s="1"/>
      <c r="H48" s="1"/>
      <c r="I48" s="1"/>
      <c r="J48" s="1"/>
    </row>
    <row r="49" spans="2:10">
      <c r="B49" s="16"/>
      <c r="C49" s="1"/>
      <c r="D49" s="1"/>
      <c r="E49" s="1"/>
      <c r="F49" s="1"/>
      <c r="G49" s="1"/>
      <c r="H49" s="1"/>
      <c r="I49" s="1"/>
      <c r="J49" s="1"/>
    </row>
    <row r="50" spans="2:10">
      <c r="B50" s="18"/>
      <c r="C50" s="307"/>
      <c r="D50" s="307"/>
      <c r="E50" s="307"/>
      <c r="F50" s="307"/>
      <c r="G50" s="307"/>
      <c r="H50" s="307"/>
      <c r="I50" s="307"/>
      <c r="J50" s="18"/>
    </row>
    <row r="51" spans="2:10" ht="24.75" customHeight="1">
      <c r="C51" s="308" t="s">
        <v>98</v>
      </c>
      <c r="D51" s="308"/>
      <c r="E51" s="308"/>
      <c r="F51" s="308"/>
      <c r="G51" s="308"/>
      <c r="H51" s="308"/>
      <c r="I51" s="308"/>
      <c r="J51" s="34"/>
    </row>
    <row r="53" spans="2:10" ht="19.5" customHeight="1">
      <c r="C53" s="319" t="s">
        <v>60</v>
      </c>
      <c r="D53" s="319"/>
      <c r="E53" s="319"/>
      <c r="F53" s="319"/>
      <c r="G53" s="319"/>
      <c r="H53" s="319"/>
      <c r="I53" s="319"/>
    </row>
    <row r="54" spans="2:10" ht="21" customHeight="1">
      <c r="C54" s="306" t="s">
        <v>61</v>
      </c>
      <c r="D54" s="306"/>
      <c r="E54" s="306"/>
      <c r="F54" s="306"/>
      <c r="G54" s="306"/>
      <c r="H54" s="306"/>
      <c r="I54" s="306"/>
    </row>
    <row r="55" spans="2:10" ht="21" customHeight="1">
      <c r="C55" s="306" t="s">
        <v>62</v>
      </c>
      <c r="D55" s="306"/>
      <c r="E55" s="306"/>
      <c r="F55" s="306"/>
      <c r="G55" s="306"/>
      <c r="H55" s="306"/>
      <c r="I55" s="306"/>
    </row>
    <row r="56" spans="2:10" ht="21" customHeight="1">
      <c r="C56" s="306" t="s">
        <v>63</v>
      </c>
      <c r="D56" s="306"/>
      <c r="E56" s="306"/>
      <c r="F56" s="306"/>
      <c r="G56" s="306"/>
      <c r="H56" s="306"/>
      <c r="I56" s="306"/>
    </row>
  </sheetData>
  <sheetProtection selectLockedCells="1" selectUnlockedCells="1"/>
  <protectedRanges>
    <protectedRange sqref="C11:H15" name="Rango1_1_1_2" securityDescriptor=""/>
  </protectedRanges>
  <mergeCells count="37">
    <mergeCell ref="B2:B3"/>
    <mergeCell ref="C2:H3"/>
    <mergeCell ref="C35:H35"/>
    <mergeCell ref="C37:H37"/>
    <mergeCell ref="C38:H38"/>
    <mergeCell ref="C31:H31"/>
    <mergeCell ref="C33:H33"/>
    <mergeCell ref="C23:H23"/>
    <mergeCell ref="C18:H18"/>
    <mergeCell ref="C19:H19"/>
    <mergeCell ref="C12:I12"/>
    <mergeCell ref="C13:I13"/>
    <mergeCell ref="C14:I14"/>
    <mergeCell ref="C15:I15"/>
    <mergeCell ref="C21:H21"/>
    <mergeCell ref="C22:H22"/>
    <mergeCell ref="C56:I56"/>
    <mergeCell ref="C50:I50"/>
    <mergeCell ref="C51:I51"/>
    <mergeCell ref="C30:H30"/>
    <mergeCell ref="C24:H24"/>
    <mergeCell ref="C26:I26"/>
    <mergeCell ref="C27:H27"/>
    <mergeCell ref="C28:H28"/>
    <mergeCell ref="C29:H29"/>
    <mergeCell ref="C53:I53"/>
    <mergeCell ref="C54:I54"/>
    <mergeCell ref="C55:I55"/>
    <mergeCell ref="C16:I16"/>
    <mergeCell ref="C17:I17"/>
    <mergeCell ref="C32:H32"/>
    <mergeCell ref="C20:H20"/>
    <mergeCell ref="B6:E6"/>
    <mergeCell ref="F6:J6"/>
    <mergeCell ref="G7:J7"/>
    <mergeCell ref="B8:J8"/>
    <mergeCell ref="C11:I11"/>
  </mergeCells>
  <pageMargins left="0.69930555555555596" right="0.69930555555555596" top="0.75" bottom="0.75" header="0.3" footer="0.3"/>
  <pageSetup scale="4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2059-9F4F-485D-9B91-1F3ACBF3E478}">
  <dimension ref="B1:O41"/>
  <sheetViews>
    <sheetView workbookViewId="0">
      <selection activeCell="I19" sqref="I19"/>
    </sheetView>
  </sheetViews>
  <sheetFormatPr baseColWidth="10" defaultRowHeight="12.75"/>
  <cols>
    <col min="3" max="3" width="41.85546875" customWidth="1"/>
    <col min="5" max="16" width="11.140625" customWidth="1"/>
  </cols>
  <sheetData>
    <row r="1" spans="2:15" ht="30.75" customHeight="1">
      <c r="B1" s="343" t="s">
        <v>71</v>
      </c>
      <c r="C1" s="346" t="s">
        <v>72</v>
      </c>
      <c r="D1" s="346" t="s">
        <v>73</v>
      </c>
      <c r="E1" s="338" t="s">
        <v>105</v>
      </c>
      <c r="F1" s="338"/>
      <c r="G1" s="338"/>
      <c r="H1" s="338"/>
      <c r="I1" s="338"/>
      <c r="J1" s="338"/>
      <c r="K1" s="338"/>
      <c r="L1" s="338"/>
      <c r="M1" s="338"/>
      <c r="N1" s="338"/>
      <c r="O1" s="339"/>
    </row>
    <row r="2" spans="2:15" ht="26.25" customHeight="1">
      <c r="B2" s="344"/>
      <c r="C2" s="347"/>
      <c r="D2" s="347"/>
      <c r="E2" s="166" t="s">
        <v>99</v>
      </c>
      <c r="F2" s="166" t="s">
        <v>100</v>
      </c>
      <c r="G2" s="342" t="s">
        <v>101</v>
      </c>
      <c r="H2" s="342"/>
      <c r="I2" s="166" t="s">
        <v>107</v>
      </c>
      <c r="J2" s="342" t="s">
        <v>102</v>
      </c>
      <c r="K2" s="342"/>
      <c r="L2" s="166" t="s">
        <v>103</v>
      </c>
      <c r="M2" s="166" t="s">
        <v>108</v>
      </c>
      <c r="N2" s="166" t="s">
        <v>104</v>
      </c>
      <c r="O2" s="340" t="s">
        <v>106</v>
      </c>
    </row>
    <row r="3" spans="2:15" ht="27" customHeight="1" thickBot="1">
      <c r="B3" s="345"/>
      <c r="C3" s="348"/>
      <c r="D3" s="348"/>
      <c r="E3" s="167">
        <v>0.15</v>
      </c>
      <c r="F3" s="167">
        <v>0.1</v>
      </c>
      <c r="G3" s="168" t="s">
        <v>109</v>
      </c>
      <c r="H3" s="168" t="s">
        <v>110</v>
      </c>
      <c r="I3" s="167">
        <v>0.95</v>
      </c>
      <c r="J3" s="168" t="s">
        <v>111</v>
      </c>
      <c r="K3" s="168" t="s">
        <v>112</v>
      </c>
      <c r="L3" s="167">
        <v>0.4</v>
      </c>
      <c r="M3" s="167">
        <v>0.5</v>
      </c>
      <c r="N3" s="167">
        <v>1</v>
      </c>
      <c r="O3" s="341"/>
    </row>
    <row r="4" spans="2:15" ht="13.5">
      <c r="B4" s="165">
        <v>1</v>
      </c>
      <c r="C4" s="206"/>
      <c r="D4" s="206"/>
      <c r="E4" s="206"/>
      <c r="F4" s="206"/>
      <c r="G4" s="206"/>
      <c r="H4" s="206"/>
      <c r="I4" s="207"/>
      <c r="J4" s="207"/>
      <c r="K4" s="207"/>
      <c r="L4" s="208"/>
      <c r="M4" s="209"/>
      <c r="N4" s="207"/>
      <c r="O4" s="209"/>
    </row>
    <row r="5" spans="2:15" ht="13.5">
      <c r="B5" s="127">
        <v>2</v>
      </c>
      <c r="C5" s="206"/>
      <c r="D5" s="206"/>
      <c r="E5" s="206"/>
      <c r="F5" s="206"/>
      <c r="G5" s="206"/>
      <c r="H5" s="206"/>
      <c r="I5" s="207"/>
      <c r="J5" s="207"/>
      <c r="K5" s="207"/>
      <c r="L5" s="208"/>
      <c r="M5" s="209"/>
      <c r="N5" s="207"/>
      <c r="O5" s="209"/>
    </row>
    <row r="6" spans="2:15" ht="13.5">
      <c r="B6" s="127">
        <v>3</v>
      </c>
      <c r="C6" s="206"/>
      <c r="D6" s="206"/>
      <c r="E6" s="206"/>
      <c r="F6" s="206"/>
      <c r="G6" s="206"/>
      <c r="H6" s="207"/>
      <c r="I6" s="206"/>
      <c r="J6" s="207"/>
      <c r="K6" s="207"/>
      <c r="L6" s="208"/>
      <c r="M6" s="209"/>
      <c r="N6" s="207"/>
      <c r="O6" s="209"/>
    </row>
    <row r="7" spans="2:15" ht="13.5">
      <c r="B7" s="127">
        <v>4</v>
      </c>
      <c r="C7" s="206"/>
      <c r="D7" s="206"/>
      <c r="E7" s="206"/>
      <c r="F7" s="206"/>
      <c r="G7" s="206"/>
      <c r="H7" s="206"/>
      <c r="I7" s="207"/>
      <c r="J7" s="207"/>
      <c r="K7" s="207"/>
      <c r="L7" s="208"/>
      <c r="M7" s="209"/>
      <c r="N7" s="207"/>
      <c r="O7" s="209"/>
    </row>
    <row r="8" spans="2:15" ht="13.5">
      <c r="B8" s="127">
        <v>5</v>
      </c>
      <c r="C8" s="206"/>
      <c r="D8" s="206"/>
      <c r="E8" s="206"/>
      <c r="F8" s="206"/>
      <c r="G8" s="206"/>
      <c r="H8" s="206"/>
      <c r="I8" s="207"/>
      <c r="J8" s="207"/>
      <c r="K8" s="207"/>
      <c r="L8" s="208"/>
      <c r="M8" s="209"/>
      <c r="N8" s="207"/>
      <c r="O8" s="209"/>
    </row>
    <row r="9" spans="2:15" ht="13.5">
      <c r="B9" s="127">
        <v>6</v>
      </c>
      <c r="C9" s="206"/>
      <c r="D9" s="206"/>
      <c r="E9" s="207"/>
      <c r="F9" s="207"/>
      <c r="G9" s="207"/>
      <c r="H9" s="207"/>
      <c r="I9" s="207"/>
      <c r="J9" s="207"/>
      <c r="K9" s="207"/>
      <c r="L9" s="208"/>
      <c r="M9" s="209"/>
      <c r="N9" s="207"/>
      <c r="O9" s="209"/>
    </row>
    <row r="10" spans="2:15" ht="13.5">
      <c r="B10" s="127">
        <v>7</v>
      </c>
      <c r="C10" s="206"/>
      <c r="D10" s="206"/>
      <c r="E10" s="207"/>
      <c r="F10" s="207"/>
      <c r="G10" s="207"/>
      <c r="H10" s="207"/>
      <c r="I10" s="207"/>
      <c r="J10" s="207"/>
      <c r="K10" s="207"/>
      <c r="L10" s="208"/>
      <c r="M10" s="209"/>
      <c r="N10" s="207"/>
      <c r="O10" s="209"/>
    </row>
    <row r="11" spans="2:15" ht="13.5">
      <c r="B11" s="127">
        <v>8</v>
      </c>
      <c r="C11" s="206"/>
      <c r="D11" s="206"/>
      <c r="E11" s="207"/>
      <c r="F11" s="207"/>
      <c r="G11" s="207"/>
      <c r="H11" s="207"/>
      <c r="I11" s="207"/>
      <c r="J11" s="207"/>
      <c r="K11" s="207"/>
      <c r="L11" s="208"/>
      <c r="M11" s="209"/>
      <c r="N11" s="207"/>
      <c r="O11" s="209"/>
    </row>
    <row r="12" spans="2:15" ht="13.5">
      <c r="B12" s="127">
        <v>9</v>
      </c>
      <c r="C12" s="206"/>
      <c r="D12" s="206"/>
      <c r="E12" s="207"/>
      <c r="F12" s="207"/>
      <c r="G12" s="207"/>
      <c r="H12" s="207"/>
      <c r="I12" s="207"/>
      <c r="J12" s="207"/>
      <c r="K12" s="207"/>
      <c r="L12" s="208"/>
      <c r="M12" s="209"/>
      <c r="N12" s="207"/>
      <c r="O12" s="209"/>
    </row>
    <row r="13" spans="2:15" ht="13.5">
      <c r="B13" s="127">
        <v>10</v>
      </c>
      <c r="C13" s="206"/>
      <c r="D13" s="206"/>
      <c r="E13" s="207"/>
      <c r="F13" s="207"/>
      <c r="G13" s="207"/>
      <c r="H13" s="207"/>
      <c r="I13" s="207"/>
      <c r="J13" s="207"/>
      <c r="K13" s="207"/>
      <c r="L13" s="208"/>
      <c r="M13" s="209"/>
      <c r="N13" s="207"/>
      <c r="O13" s="209"/>
    </row>
    <row r="14" spans="2:15" ht="13.5">
      <c r="B14" s="127">
        <v>11</v>
      </c>
      <c r="C14" s="206"/>
      <c r="D14" s="206"/>
      <c r="E14" s="207"/>
      <c r="F14" s="207"/>
      <c r="G14" s="207"/>
      <c r="H14" s="207"/>
      <c r="I14" s="207"/>
      <c r="J14" s="207"/>
      <c r="K14" s="207"/>
      <c r="L14" s="208"/>
      <c r="M14" s="209"/>
      <c r="N14" s="207"/>
      <c r="O14" s="209"/>
    </row>
    <row r="15" spans="2:15" ht="13.5">
      <c r="B15" s="127">
        <v>12</v>
      </c>
      <c r="C15" s="206"/>
      <c r="D15" s="206"/>
      <c r="E15" s="207"/>
      <c r="F15" s="207"/>
      <c r="G15" s="207"/>
      <c r="H15" s="207"/>
      <c r="I15" s="207"/>
      <c r="J15" s="207"/>
      <c r="K15" s="207"/>
      <c r="L15" s="208"/>
      <c r="M15" s="209"/>
      <c r="N15" s="207"/>
      <c r="O15" s="209"/>
    </row>
    <row r="16" spans="2:15" ht="13.5">
      <c r="B16" s="127">
        <v>13</v>
      </c>
      <c r="C16" s="206"/>
      <c r="D16" s="206"/>
      <c r="E16" s="207"/>
      <c r="F16" s="207"/>
      <c r="G16" s="207"/>
      <c r="H16" s="207"/>
      <c r="I16" s="207"/>
      <c r="J16" s="207"/>
      <c r="K16" s="207"/>
      <c r="L16" s="208"/>
      <c r="M16" s="209"/>
      <c r="N16" s="207"/>
      <c r="O16" s="209"/>
    </row>
    <row r="17" spans="2:15" ht="13.5">
      <c r="B17" s="127">
        <v>14</v>
      </c>
      <c r="C17" s="206"/>
      <c r="D17" s="206"/>
      <c r="E17" s="207"/>
      <c r="F17" s="207"/>
      <c r="G17" s="207"/>
      <c r="H17" s="207"/>
      <c r="I17" s="207"/>
      <c r="J17" s="207"/>
      <c r="K17" s="207"/>
      <c r="L17" s="208"/>
      <c r="M17" s="209"/>
      <c r="N17" s="207"/>
      <c r="O17" s="209"/>
    </row>
    <row r="18" spans="2:15" ht="13.5">
      <c r="B18" s="127">
        <v>15</v>
      </c>
      <c r="C18" s="206"/>
      <c r="D18" s="206"/>
      <c r="E18" s="207"/>
      <c r="F18" s="207"/>
      <c r="G18" s="207"/>
      <c r="H18" s="207"/>
      <c r="I18" s="207"/>
      <c r="J18" s="207"/>
      <c r="K18" s="207"/>
      <c r="L18" s="208"/>
      <c r="M18" s="209"/>
      <c r="N18" s="207"/>
      <c r="O18" s="209"/>
    </row>
    <row r="19" spans="2:15" ht="13.5">
      <c r="B19" s="127">
        <v>16</v>
      </c>
      <c r="C19" s="206"/>
      <c r="D19" s="206"/>
      <c r="E19" s="207"/>
      <c r="F19" s="207"/>
      <c r="G19" s="207"/>
      <c r="H19" s="207"/>
      <c r="I19" s="207"/>
      <c r="J19" s="207"/>
      <c r="K19" s="207"/>
      <c r="L19" s="208"/>
      <c r="M19" s="209"/>
      <c r="N19" s="207"/>
      <c r="O19" s="209"/>
    </row>
    <row r="20" spans="2:15" ht="13.5">
      <c r="B20" s="127">
        <v>17</v>
      </c>
      <c r="C20" s="206"/>
      <c r="D20" s="206"/>
      <c r="E20" s="207"/>
      <c r="F20" s="207"/>
      <c r="G20" s="207"/>
      <c r="H20" s="207"/>
      <c r="I20" s="207"/>
      <c r="J20" s="207"/>
      <c r="K20" s="207"/>
      <c r="L20" s="208"/>
      <c r="M20" s="209"/>
      <c r="N20" s="207"/>
      <c r="O20" s="209"/>
    </row>
    <row r="21" spans="2:15" ht="13.5">
      <c r="B21" s="127">
        <v>18</v>
      </c>
      <c r="C21" s="206"/>
      <c r="D21" s="206"/>
      <c r="E21" s="207"/>
      <c r="F21" s="207"/>
      <c r="G21" s="207"/>
      <c r="H21" s="207"/>
      <c r="I21" s="207"/>
      <c r="J21" s="207"/>
      <c r="K21" s="207"/>
      <c r="L21" s="208"/>
      <c r="M21" s="209"/>
      <c r="N21" s="207"/>
      <c r="O21" s="209"/>
    </row>
    <row r="22" spans="2:15" ht="13.5">
      <c r="B22" s="127">
        <v>19</v>
      </c>
      <c r="C22" s="206"/>
      <c r="D22" s="206"/>
      <c r="E22" s="207"/>
      <c r="F22" s="207"/>
      <c r="G22" s="207"/>
      <c r="H22" s="207"/>
      <c r="I22" s="207"/>
      <c r="J22" s="207"/>
      <c r="K22" s="207"/>
      <c r="L22" s="208"/>
      <c r="M22" s="209"/>
      <c r="N22" s="207"/>
      <c r="O22" s="209"/>
    </row>
    <row r="23" spans="2:15" ht="13.5">
      <c r="B23" s="127">
        <v>20</v>
      </c>
      <c r="C23" s="206"/>
      <c r="D23" s="206"/>
      <c r="E23" s="207"/>
      <c r="F23" s="207"/>
      <c r="G23" s="207"/>
      <c r="H23" s="207"/>
      <c r="I23" s="207"/>
      <c r="J23" s="207"/>
      <c r="K23" s="207"/>
      <c r="L23" s="208"/>
      <c r="M23" s="209"/>
      <c r="N23" s="207"/>
      <c r="O23" s="209"/>
    </row>
    <row r="24" spans="2:15" ht="13.5">
      <c r="B24" s="127">
        <v>21</v>
      </c>
      <c r="C24" s="206"/>
      <c r="D24" s="206"/>
      <c r="E24" s="207"/>
      <c r="F24" s="207"/>
      <c r="G24" s="207"/>
      <c r="H24" s="207"/>
      <c r="I24" s="207"/>
      <c r="J24" s="207"/>
      <c r="K24" s="207"/>
      <c r="L24" s="208"/>
      <c r="M24" s="209"/>
      <c r="N24" s="207"/>
      <c r="O24" s="209"/>
    </row>
    <row r="25" spans="2:15" ht="13.5">
      <c r="B25" s="127">
        <v>22</v>
      </c>
      <c r="C25" s="206"/>
      <c r="D25" s="126"/>
      <c r="E25" s="126"/>
      <c r="F25" s="209"/>
      <c r="G25" s="126"/>
      <c r="H25" s="126"/>
      <c r="I25" s="126"/>
      <c r="J25" s="126"/>
      <c r="K25" s="209"/>
      <c r="L25" s="126"/>
      <c r="M25" s="126"/>
      <c r="N25" s="126"/>
      <c r="O25" s="209"/>
    </row>
    <row r="26" spans="2:15" ht="13.5">
      <c r="B26" s="127">
        <v>23</v>
      </c>
      <c r="C26" s="188"/>
      <c r="D26" s="126"/>
      <c r="E26" s="126"/>
      <c r="F26" s="209"/>
      <c r="G26" s="126"/>
      <c r="H26" s="126"/>
      <c r="I26" s="126"/>
      <c r="J26" s="126"/>
      <c r="K26" s="126"/>
      <c r="L26" s="126"/>
      <c r="M26" s="126"/>
      <c r="N26" s="126"/>
      <c r="O26" s="209"/>
    </row>
    <row r="27" spans="2:15">
      <c r="B27" s="127">
        <v>24</v>
      </c>
      <c r="C27" s="127"/>
      <c r="D27" s="126"/>
      <c r="E27" s="126"/>
      <c r="F27" s="126"/>
      <c r="G27" s="126"/>
      <c r="H27" s="126"/>
      <c r="I27" s="126"/>
      <c r="J27" s="126"/>
      <c r="K27" s="126"/>
      <c r="L27" s="126"/>
      <c r="M27" s="126"/>
      <c r="N27" s="126"/>
      <c r="O27" s="126"/>
    </row>
    <row r="28" spans="2:15">
      <c r="B28" s="127">
        <v>25</v>
      </c>
      <c r="C28" s="127"/>
      <c r="D28" s="126"/>
      <c r="E28" s="126"/>
      <c r="F28" s="126"/>
      <c r="G28" s="126"/>
      <c r="H28" s="126"/>
      <c r="I28" s="126"/>
      <c r="J28" s="126"/>
      <c r="K28" s="126"/>
      <c r="L28" s="126"/>
      <c r="M28" s="126"/>
      <c r="N28" s="126"/>
      <c r="O28" s="126"/>
    </row>
    <row r="29" spans="2:15">
      <c r="B29" s="127">
        <v>26</v>
      </c>
      <c r="C29" s="127"/>
      <c r="D29" s="126"/>
      <c r="E29" s="126"/>
      <c r="F29" s="126"/>
      <c r="G29" s="126"/>
      <c r="H29" s="126"/>
      <c r="I29" s="126"/>
      <c r="J29" s="126"/>
      <c r="K29" s="126"/>
      <c r="L29" s="126"/>
      <c r="M29" s="126"/>
      <c r="N29" s="126"/>
      <c r="O29" s="126"/>
    </row>
    <row r="30" spans="2:15">
      <c r="B30" s="127">
        <v>27</v>
      </c>
      <c r="C30" s="127"/>
      <c r="D30" s="126"/>
      <c r="E30" s="126"/>
      <c r="F30" s="126"/>
      <c r="G30" s="126"/>
      <c r="H30" s="126"/>
      <c r="I30" s="126"/>
      <c r="J30" s="126"/>
      <c r="K30" s="126"/>
      <c r="L30" s="126"/>
      <c r="M30" s="126"/>
      <c r="N30" s="126"/>
      <c r="O30" s="126"/>
    </row>
    <row r="31" spans="2:15">
      <c r="B31" s="127">
        <v>28</v>
      </c>
      <c r="C31" s="127"/>
      <c r="D31" s="126"/>
      <c r="E31" s="126"/>
      <c r="F31" s="126"/>
      <c r="G31" s="126"/>
      <c r="H31" s="126"/>
      <c r="I31" s="126"/>
      <c r="J31" s="126"/>
      <c r="K31" s="126"/>
      <c r="L31" s="126"/>
      <c r="M31" s="126"/>
      <c r="N31" s="126"/>
      <c r="O31" s="126"/>
    </row>
    <row r="32" spans="2:15">
      <c r="B32" s="127">
        <v>29</v>
      </c>
      <c r="C32" s="127"/>
      <c r="D32" s="126"/>
      <c r="E32" s="126"/>
      <c r="F32" s="126"/>
      <c r="G32" s="126"/>
      <c r="H32" s="126"/>
      <c r="I32" s="126"/>
      <c r="J32" s="126"/>
      <c r="K32" s="126"/>
      <c r="L32" s="126"/>
      <c r="M32" s="126"/>
      <c r="N32" s="126"/>
      <c r="O32" s="126"/>
    </row>
    <row r="33" spans="2:15">
      <c r="B33" s="127">
        <v>30</v>
      </c>
      <c r="C33" s="127"/>
      <c r="D33" s="126"/>
      <c r="E33" s="126"/>
      <c r="F33" s="126"/>
      <c r="G33" s="126"/>
      <c r="H33" s="126"/>
      <c r="I33" s="126"/>
      <c r="J33" s="126"/>
      <c r="K33" s="126"/>
      <c r="L33" s="126"/>
      <c r="M33" s="126"/>
      <c r="N33" s="126"/>
      <c r="O33" s="126"/>
    </row>
    <row r="34" spans="2:15">
      <c r="B34" s="127">
        <v>31</v>
      </c>
      <c r="C34" s="127"/>
      <c r="D34" s="126"/>
      <c r="E34" s="126"/>
      <c r="F34" s="126"/>
      <c r="G34" s="126"/>
      <c r="H34" s="126"/>
      <c r="I34" s="126"/>
      <c r="J34" s="126"/>
      <c r="K34" s="126"/>
      <c r="L34" s="126"/>
      <c r="M34" s="126"/>
      <c r="N34" s="126"/>
      <c r="O34" s="126"/>
    </row>
    <row r="35" spans="2:15">
      <c r="B35" s="127">
        <v>32</v>
      </c>
      <c r="C35" s="127"/>
      <c r="D35" s="126"/>
      <c r="E35" s="126"/>
      <c r="F35" s="126"/>
      <c r="G35" s="126"/>
      <c r="H35" s="126"/>
      <c r="I35" s="126"/>
      <c r="J35" s="126"/>
      <c r="K35" s="126"/>
      <c r="L35" s="126"/>
      <c r="M35" s="126"/>
      <c r="N35" s="126"/>
      <c r="O35" s="126"/>
    </row>
    <row r="36" spans="2:15">
      <c r="B36" s="127">
        <v>33</v>
      </c>
      <c r="C36" s="127"/>
      <c r="D36" s="126"/>
      <c r="E36" s="126"/>
      <c r="F36" s="126"/>
      <c r="G36" s="126"/>
      <c r="H36" s="126"/>
      <c r="I36" s="126"/>
      <c r="J36" s="126"/>
      <c r="K36" s="126"/>
      <c r="L36" s="126"/>
      <c r="M36" s="126"/>
      <c r="N36" s="126"/>
      <c r="O36" s="126"/>
    </row>
    <row r="37" spans="2:15">
      <c r="B37" s="127">
        <v>34</v>
      </c>
      <c r="C37" s="127"/>
      <c r="D37" s="126"/>
      <c r="E37" s="126"/>
      <c r="F37" s="126"/>
      <c r="G37" s="126"/>
      <c r="H37" s="126"/>
      <c r="I37" s="126"/>
      <c r="J37" s="126"/>
      <c r="K37" s="126"/>
      <c r="L37" s="126"/>
      <c r="M37" s="126"/>
      <c r="N37" s="126"/>
      <c r="O37" s="126"/>
    </row>
    <row r="38" spans="2:15">
      <c r="B38" s="127">
        <v>35</v>
      </c>
      <c r="C38" s="127"/>
      <c r="D38" s="126"/>
      <c r="E38" s="126"/>
      <c r="F38" s="126"/>
      <c r="G38" s="126"/>
      <c r="H38" s="126"/>
      <c r="I38" s="126"/>
      <c r="J38" s="126"/>
      <c r="K38" s="126"/>
      <c r="L38" s="126"/>
      <c r="M38" s="126"/>
      <c r="N38" s="126"/>
      <c r="O38" s="126"/>
    </row>
    <row r="39" spans="2:15">
      <c r="B39" s="127">
        <v>36</v>
      </c>
      <c r="C39" s="127"/>
      <c r="D39" s="126"/>
      <c r="E39" s="126"/>
      <c r="F39" s="126"/>
      <c r="G39" s="126"/>
      <c r="H39" s="126"/>
      <c r="I39" s="126"/>
      <c r="J39" s="126"/>
      <c r="K39" s="126"/>
      <c r="L39" s="126"/>
      <c r="M39" s="126"/>
      <c r="N39" s="126"/>
      <c r="O39" s="126"/>
    </row>
    <row r="40" spans="2:15">
      <c r="B40" s="127">
        <v>37</v>
      </c>
      <c r="C40" s="127"/>
      <c r="D40" s="126"/>
      <c r="E40" s="126"/>
      <c r="F40" s="126"/>
      <c r="G40" s="126"/>
      <c r="H40" s="126"/>
      <c r="I40" s="126"/>
      <c r="J40" s="126"/>
      <c r="K40" s="126"/>
      <c r="L40" s="126"/>
      <c r="M40" s="126"/>
      <c r="N40" s="126"/>
      <c r="O40" s="126"/>
    </row>
    <row r="41" spans="2:15">
      <c r="B41" s="127">
        <v>38</v>
      </c>
      <c r="C41" s="127"/>
      <c r="D41" s="126"/>
      <c r="E41" s="126"/>
      <c r="F41" s="126"/>
      <c r="G41" s="126"/>
      <c r="H41" s="126"/>
      <c r="I41" s="126"/>
      <c r="J41" s="126"/>
      <c r="K41" s="126"/>
      <c r="L41" s="126"/>
      <c r="M41" s="126"/>
      <c r="N41" s="126"/>
      <c r="O41" s="126"/>
    </row>
  </sheetData>
  <mergeCells count="7">
    <mergeCell ref="E1:O1"/>
    <mergeCell ref="O2:O3"/>
    <mergeCell ref="J2:K2"/>
    <mergeCell ref="G2:H2"/>
    <mergeCell ref="B1:B3"/>
    <mergeCell ref="C1:C3"/>
    <mergeCell ref="D1: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PROTOCOLO</vt:lpstr>
      <vt:lpstr>VIABILIDAD</vt:lpstr>
      <vt:lpstr>LISTA DE ESTUDIANTES</vt:lpstr>
      <vt:lpstr>PROTOCOLO!Área_de_impresión</vt:lpstr>
    </vt:vector>
  </TitlesOfParts>
  <Company>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Invitado</dc:creator>
  <cp:lastModifiedBy>Daniel Arias</cp:lastModifiedBy>
  <cp:lastPrinted>2019-11-27T15:25:26Z</cp:lastPrinted>
  <dcterms:created xsi:type="dcterms:W3CDTF">2006-08-17T14:02:00Z</dcterms:created>
  <dcterms:modified xsi:type="dcterms:W3CDTF">2025-11-04T01:17:53Z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3082-10.1.0.5785</vt:lpwstr>
  </property>
</Properties>
</file>